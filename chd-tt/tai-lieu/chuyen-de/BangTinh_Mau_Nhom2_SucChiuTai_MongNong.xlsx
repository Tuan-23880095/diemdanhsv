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g_Bia" sheetId="1" state="visible" r:id="rId1"/>
    <sheet xmlns:r="http://schemas.openxmlformats.org/officeDocument/2006/relationships" name="Du_Lieu_Dia_Chat" sheetId="2" state="visible" r:id="rId2"/>
    <sheet xmlns:r="http://schemas.openxmlformats.org/officeDocument/2006/relationships" name="Ma_Tran_Suc_Chiu_Tai" sheetId="3" state="visible" r:id="rId3"/>
    <sheet xmlns:r="http://schemas.openxmlformats.org/officeDocument/2006/relationships" name="Ap_Luc_TCVN_9362" sheetId="4" state="visible" r:id="rId4"/>
    <sheet xmlns:r="http://schemas.openxmlformats.org/officeDocument/2006/relationships" name="CaseStudy_Transco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555555"/>
      <sz val="11"/>
    </font>
    <font>
      <name val="Calibri"/>
      <b val="1"/>
      <color rgb="000B2545"/>
      <sz val="16"/>
    </font>
    <font>
      <name val="Calibri"/>
      <b val="1"/>
      <color rgb="00134074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34074"/>
        <bgColor rgb="0013407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64" fontId="5" fillId="0" borderId="1" pivotButton="0" quotePrefix="0" xfId="0"/>
    <xf numFmtId="2" fontId="5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1" workbookViewId="0">
      <selection activeCell="A1" sqref="A1"/>
    </sheetView>
  </sheetViews>
  <sheetFormatPr baseColWidth="8" defaultRowHeight="15"/>
  <cols>
    <col width="25" customWidth="1" min="2" max="2"/>
    <col width="80" customWidth="1" min="3" max="3"/>
  </cols>
  <sheetData>
    <row r="2">
      <c r="B2" s="1" t="inlineStr">
        <is>
          <t>TRƯỜNG ĐẠI HỌC KHOA HỌC TỰ NHIÊN – KHOA ĐỊA CHẤT</t>
        </is>
      </c>
    </row>
    <row r="3">
      <c r="B3" s="1" t="inlineStr">
        <is>
          <t>BỘ MÔN ĐỊA CHẤT CÔNG TRÌNH - ĐỊA CHẤT THỦY VĂN</t>
        </is>
      </c>
    </row>
    <row r="5">
      <c r="B5" s="2" t="inlineStr">
        <is>
          <t>BẢNG TÍNH SỨC CHỊU TẢI &amp; TỐI ƯU HÓA ĐỘ SÂU ĐẶT MÓNG NÔNG</t>
        </is>
      </c>
    </row>
    <row r="6">
      <c r="B6" s="3" t="inlineStr">
        <is>
          <t>CHUYÊN ĐỀ BÁO CÁO NHÓM 2 — CHƯƠNG 4 (HỌC PHẦN CƠ HỌC ĐẤT GEO20202)</t>
        </is>
      </c>
    </row>
    <row r="8">
      <c r="B8" s="4" t="inlineStr">
        <is>
          <t>Tên dự án:</t>
        </is>
      </c>
      <c r="C8" s="5" t="inlineStr">
        <is>
          <t>Tính toán sức chịu tải giới hạn và áp lực tính toán móng nông (N = 500 kN)</t>
        </is>
      </c>
    </row>
    <row r="9">
      <c r="B9" s="4" t="inlineStr">
        <is>
          <t>Tải trọng tác dụng:</t>
        </is>
      </c>
      <c r="C9" s="5" t="inlineStr">
        <is>
          <t>Tải trọng chân cột đúng tâm tiêu chuẩn N = 500 kN, móng đơn vuông B x B</t>
        </is>
      </c>
    </row>
    <row r="10">
      <c r="B10" s="4" t="inlineStr">
        <is>
          <t>Khảo sát so sánh:</t>
        </is>
      </c>
      <c r="C10" s="5" t="inlineStr">
        <is>
          <t>Hồ sơ A (Đất đỏ Bazan Tây Nguyên: Khô ẩm vs Bão hòa MNN dâng) và Hồ sơ B (Bùn sét TP.HCM)</t>
        </is>
      </c>
    </row>
    <row r="11">
      <c r="B11" s="4" t="inlineStr">
        <is>
          <t>Tiêu chuẩn &amp; Lý thuyết:</t>
        </is>
      </c>
      <c r="C11" s="5" t="inlineStr">
        <is>
          <t>Lý thuyết Terzaghi (1943), Meyerhof (1963) và Tiêu chuẩn TCVN 9362:2012 (Mục 4.6.9)</t>
        </is>
      </c>
    </row>
    <row r="12">
      <c r="B12" s="4" t="inlineStr">
        <is>
          <t>Nghiên cứu tình huống:</t>
        </is>
      </c>
      <c r="C12" s="5" t="inlineStr">
        <is>
          <t>Phân tích cơ chế phá hoại cắt tổng thể sự cố Kho lúa Transcona (Canada, 1913)</t>
        </is>
      </c>
    </row>
    <row r="13">
      <c r="B13" s="4" t="inlineStr">
        <is>
          <t>Thành viên nhóm:</t>
        </is>
      </c>
      <c r="C13" s="5" t="inlineStr">
        <is>
          <t>SV1 (Trưởng nhóm), SV2 (Kỹ sư Dữ liệu), SV3 (Kỹ sư Tính toán), SV4 (Báo cáo &amp; Thuyết trình)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7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2">
      <c r="B2" s="3" t="inlineStr">
        <is>
          <t>THÔNG SỐ ĐỊA KỸ THUẬT ĐẦU VÀO CỦA CÁC HỒ SƠ ĐỊA CHẤT</t>
        </is>
      </c>
    </row>
    <row r="4">
      <c r="B4" s="6" t="inlineStr">
        <is>
          <t>Hồ sơ địa chất</t>
        </is>
      </c>
      <c r="C4" s="6" t="inlineStr">
        <is>
          <t>Kịch bản khảo sát</t>
        </is>
      </c>
      <c r="D4" s="6" t="inlineStr">
        <is>
          <t>gamma (kN/m3)</t>
        </is>
      </c>
      <c r="E4" s="6" t="inlineStr">
        <is>
          <t>c (kPa)</t>
        </is>
      </c>
      <c r="F4" s="6" t="inlineStr">
        <is>
          <t>phi (độ)</t>
        </is>
      </c>
      <c r="G4" s="6" t="inlineStr">
        <is>
          <t>Mực nước ngầm (m)</t>
        </is>
      </c>
      <c r="H4" s="6" t="inlineStr">
        <is>
          <t>Mô tả trạng thái đất</t>
        </is>
      </c>
    </row>
    <row r="5">
      <c r="B5" s="7" t="inlineStr">
        <is>
          <t>Hồ sơ A (Đất đỏ Bazan)</t>
        </is>
      </c>
      <c r="C5" s="7" t="inlineStr">
        <is>
          <t>Mùa khô (Khô ẩm tự nhiên)</t>
        </is>
      </c>
      <c r="D5" s="8" t="n">
        <v>17.5</v>
      </c>
      <c r="E5" s="8" t="n">
        <v>28</v>
      </c>
      <c r="F5" s="8" t="n">
        <v>24</v>
      </c>
      <c r="G5" s="7" t="inlineStr">
        <is>
          <t>&gt; 15 m (Rất sâu)</t>
        </is>
      </c>
      <c r="H5" s="7" t="inlineStr">
        <is>
          <t>Đất phong hóa có liên kết xi măng tốt</t>
        </is>
      </c>
    </row>
    <row r="6">
      <c r="B6" s="7" t="inlineStr">
        <is>
          <t>Hồ sơ A (Đất đỏ Bazan)</t>
        </is>
      </c>
      <c r="C6" s="7" t="inlineStr">
        <is>
          <t>Mùa mưa (Bão hòa ngập úng)</t>
        </is>
      </c>
      <c r="D6" s="8" t="n">
        <v>18.5</v>
      </c>
      <c r="E6" s="8" t="n">
        <v>10</v>
      </c>
      <c r="F6" s="8" t="n">
        <v>14</v>
      </c>
      <c r="G6" s="7" t="inlineStr">
        <is>
          <t>0.5 m dưới mặt đất</t>
        </is>
      </c>
      <c r="H6" s="7" t="inlineStr">
        <is>
          <t>Bão hòa, mất liên kết xi măng, suy giảm chỉ tiêu</t>
        </is>
      </c>
    </row>
    <row r="7">
      <c r="B7" s="7" t="inlineStr">
        <is>
          <t>Hồ sơ B (Bùn sét TP.HCM)</t>
        </is>
      </c>
      <c r="C7" s="7" t="inlineStr">
        <is>
          <t>Bão hòa quanh năm</t>
        </is>
      </c>
      <c r="D7" s="8" t="n">
        <v>15.5</v>
      </c>
      <c r="E7" s="8" t="n">
        <v>12</v>
      </c>
      <c r="F7" s="8" t="n">
        <v>0</v>
      </c>
      <c r="G7" s="7" t="inlineStr">
        <is>
          <t>Ngay mặt đất (0.0 m)</t>
        </is>
      </c>
      <c r="H7" s="7" t="inlineStr">
        <is>
          <t>Bùn sét yếu dẻo chảy, cu = 12 kPa, phi =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showGridLines="1"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2">
      <c r="B2" s="3" t="inlineStr">
        <is>
          <t>MA TRẬN SỨC CHỊU TẢI THEO B VÀ Df (HỒ SƠ A - MÙA KHÔ VS MÙA MƯA)</t>
        </is>
      </c>
    </row>
    <row r="4">
      <c r="B4" s="6" t="inlineStr">
        <is>
          <t>Kịch bản</t>
        </is>
      </c>
      <c r="C4" s="6" t="inlineStr">
        <is>
          <t>B (m)</t>
        </is>
      </c>
      <c r="D4" s="6" t="inlineStr">
        <is>
          <t>Df (m)</t>
        </is>
      </c>
      <c r="E4" s="6" t="inlineStr">
        <is>
          <t>ptc = N/B^2 (kPa)</t>
        </is>
      </c>
      <c r="F4" s="6" t="inlineStr">
        <is>
          <t>Nc</t>
        </is>
      </c>
      <c r="G4" s="6" t="inlineStr">
        <is>
          <t>Nq</t>
        </is>
      </c>
      <c r="H4" s="6" t="inlineStr">
        <is>
          <t>Ngamma</t>
        </is>
      </c>
      <c r="I4" s="6" t="inlineStr">
        <is>
          <t>q_ult Terzaghi (kPa)</t>
        </is>
      </c>
      <c r="J4" s="6" t="inlineStr">
        <is>
          <t>q_all (FS=3) (kPa)</t>
        </is>
      </c>
      <c r="K4" s="6" t="inlineStr">
        <is>
          <t>Đánh giá an toàn</t>
        </is>
      </c>
    </row>
    <row r="5">
      <c r="B5" s="8" t="inlineStr">
        <is>
          <t>Mùa khô</t>
        </is>
      </c>
      <c r="C5" s="9" t="n">
        <v>1</v>
      </c>
      <c r="D5" s="9" t="n">
        <v>1</v>
      </c>
      <c r="E5" s="9">
        <f>500 / (C5^2)</f>
        <v/>
      </c>
      <c r="F5" s="10" t="n">
        <v>23.36</v>
      </c>
      <c r="G5" s="10" t="n">
        <v>11.4</v>
      </c>
      <c r="H5" s="10" t="n">
        <v>8.279999999999999</v>
      </c>
      <c r="I5" s="9">
        <f>1.3 * 28.0 * F5 + 17.5 * D5 * G5 + 0.4 * 17.5 * C5 * H5</f>
        <v/>
      </c>
      <c r="J5" s="9">
        <f>I5 / 3.0</f>
        <v/>
      </c>
      <c r="K5" s="8">
        <f>IF(E5&lt;=J5, "THỎA MÃN (An toàn)", "KHÔNG ĐẠT (Nguy hiểm)")</f>
        <v/>
      </c>
    </row>
    <row r="6">
      <c r="B6" s="8" t="inlineStr">
        <is>
          <t>Mùa khô</t>
        </is>
      </c>
      <c r="C6" s="9" t="n">
        <v>1.5</v>
      </c>
      <c r="D6" s="9" t="n">
        <v>1</v>
      </c>
      <c r="E6" s="9">
        <f>500 / (C6^2)</f>
        <v/>
      </c>
      <c r="F6" s="10" t="n">
        <v>23.36</v>
      </c>
      <c r="G6" s="10" t="n">
        <v>11.4</v>
      </c>
      <c r="H6" s="10" t="n">
        <v>8.279999999999999</v>
      </c>
      <c r="I6" s="9">
        <f>1.3 * 28.0 * F6 + 17.5 * D6 * G6 + 0.4 * 17.5 * C6 * H6</f>
        <v/>
      </c>
      <c r="J6" s="9">
        <f>I6 / 3.0</f>
        <v/>
      </c>
      <c r="K6" s="8">
        <f>IF(E6&lt;=J6, "THỎA MÃN (An toàn)", "KHÔNG ĐẠT (Nguy hiểm)")</f>
        <v/>
      </c>
    </row>
    <row r="7">
      <c r="B7" s="8" t="inlineStr">
        <is>
          <t>Mùa khô</t>
        </is>
      </c>
      <c r="C7" s="9" t="n">
        <v>2</v>
      </c>
      <c r="D7" s="9" t="n">
        <v>1.5</v>
      </c>
      <c r="E7" s="9">
        <f>500 / (C7^2)</f>
        <v/>
      </c>
      <c r="F7" s="10" t="n">
        <v>23.36</v>
      </c>
      <c r="G7" s="10" t="n">
        <v>11.4</v>
      </c>
      <c r="H7" s="10" t="n">
        <v>8.279999999999999</v>
      </c>
      <c r="I7" s="9">
        <f>1.3 * 28.0 * F7 + 17.5 * D7 * G7 + 0.4 * 17.5 * C7 * H7</f>
        <v/>
      </c>
      <c r="J7" s="9">
        <f>I7 / 3.0</f>
        <v/>
      </c>
      <c r="K7" s="8">
        <f>IF(E7&lt;=J7, "THỎA MÃN (An toàn)", "KHÔNG ĐẠT (Nguy hiểm)")</f>
        <v/>
      </c>
    </row>
    <row r="8">
      <c r="B8" s="8" t="inlineStr">
        <is>
          <t>Mùa mưa</t>
        </is>
      </c>
      <c r="C8" s="9" t="n">
        <v>1.5</v>
      </c>
      <c r="D8" s="9" t="n">
        <v>1</v>
      </c>
      <c r="E8" s="9">
        <f>500 / (C8^2)</f>
        <v/>
      </c>
      <c r="F8" s="10" t="n">
        <v>12.11</v>
      </c>
      <c r="G8" s="10" t="n">
        <v>4.02</v>
      </c>
      <c r="H8" s="10" t="n">
        <v>2.16</v>
      </c>
      <c r="I8" s="9">
        <f>1.3 * 10.0 * F8 + 8.69 * D8 * G8 + 0.4 * 8.69 * C8 * H8</f>
        <v/>
      </c>
      <c r="J8" s="9">
        <f>I8 / 3.0</f>
        <v/>
      </c>
      <c r="K8" s="8">
        <f>IF(E8&lt;=J8, "THỎA MÃN (An toàn)", "KHÔNG ĐẠT (Nguy hiểm)")</f>
        <v/>
      </c>
    </row>
    <row r="9">
      <c r="B9" s="8" t="inlineStr">
        <is>
          <t>Mùa mưa</t>
        </is>
      </c>
      <c r="C9" s="9" t="n">
        <v>2</v>
      </c>
      <c r="D9" s="9" t="n">
        <v>1</v>
      </c>
      <c r="E9" s="9">
        <f>500 / (C9^2)</f>
        <v/>
      </c>
      <c r="F9" s="10" t="n">
        <v>12.11</v>
      </c>
      <c r="G9" s="10" t="n">
        <v>4.02</v>
      </c>
      <c r="H9" s="10" t="n">
        <v>2.16</v>
      </c>
      <c r="I9" s="9">
        <f>1.3 * 10.0 * F9 + 8.69 * D9 * G9 + 0.4 * 8.69 * C9 * H9</f>
        <v/>
      </c>
      <c r="J9" s="9">
        <f>I9 / 3.0</f>
        <v/>
      </c>
      <c r="K9" s="8">
        <f>IF(E9&lt;=J9, "THỎA MÃN (An toàn)", "KHÔNG ĐẠT (Nguy hiểm)")</f>
        <v/>
      </c>
    </row>
    <row r="10">
      <c r="B10" s="8" t="inlineStr">
        <is>
          <t>Mùa mưa</t>
        </is>
      </c>
      <c r="C10" s="9" t="n">
        <v>2.2</v>
      </c>
      <c r="D10" s="9" t="n">
        <v>1.5</v>
      </c>
      <c r="E10" s="9">
        <f>500 / (C10^2)</f>
        <v/>
      </c>
      <c r="F10" s="10" t="n">
        <v>12.11</v>
      </c>
      <c r="G10" s="10" t="n">
        <v>4.02</v>
      </c>
      <c r="H10" s="10" t="n">
        <v>2.16</v>
      </c>
      <c r="I10" s="9">
        <f>1.3 * 10.0 * F10 + 8.69 * D10 * G10 + 0.4 * 8.69 * C10 * H10</f>
        <v/>
      </c>
      <c r="J10" s="9">
        <f>I10 / 3.0</f>
        <v/>
      </c>
      <c r="K10" s="8">
        <f>IF(E10&lt;=J10, "THỎA MÃN (An toàn)", "KHÔNG ĐẠT (Nguy hiểm)")</f>
        <v/>
      </c>
    </row>
    <row r="11">
      <c r="B11" s="8" t="inlineStr">
        <is>
          <t>Mùa mưa</t>
        </is>
      </c>
      <c r="C11" s="9" t="n">
        <v>2.5</v>
      </c>
      <c r="D11" s="9" t="n">
        <v>1.5</v>
      </c>
      <c r="E11" s="9">
        <f>500 / (C11^2)</f>
        <v/>
      </c>
      <c r="F11" s="10" t="n">
        <v>12.11</v>
      </c>
      <c r="G11" s="10" t="n">
        <v>4.02</v>
      </c>
      <c r="H11" s="10" t="n">
        <v>2.16</v>
      </c>
      <c r="I11" s="9">
        <f>1.3 * 10.0 * F11 + 8.69 * D11 * G11 + 0.4 * 8.69 * C11 * H11</f>
        <v/>
      </c>
      <c r="J11" s="9">
        <f>I11 / 3.0</f>
        <v/>
      </c>
      <c r="K11" s="8">
        <f>IF(E11&lt;=J11, "THỎA MÃN (An toàn)", "KHÔNG ĐẠT (Nguy hiểm)")</f>
        <v/>
      </c>
    </row>
    <row r="13">
      <c r="B13" t="inlineStr">
        <is>
          <t>Lưu ý: hệ số Nc, Nq, Nγ phải tra đúng bảng của tác giả đã chọn (Terzaghi 1943 hoặc Meyerhof 1963) và ghi nguồn; giá trị trong bảng mẫu chỉ để minh họa cách lập công thức.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12"/>
  <sheetViews>
    <sheetView showGridLines="1"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s="3" t="inlineStr">
        <is>
          <t>ÁP LỰC TÍNH TOÁN CHO PHÉP (R) THEO TIÊU CHUẨN TCVN 9362:2012 (MỤC 4.6.9)</t>
        </is>
      </c>
    </row>
    <row r="4">
      <c r="B4" s="6" t="inlineStr">
        <is>
          <t>Kịch bản</t>
        </is>
      </c>
      <c r="C4" s="6" t="inlineStr">
        <is>
          <t>B (m)</t>
        </is>
      </c>
      <c r="D4" s="6" t="inlineStr">
        <is>
          <t>h = Df (m)</t>
        </is>
      </c>
      <c r="E4" s="6" t="inlineStr">
        <is>
          <t>phi (độ)</t>
        </is>
      </c>
      <c r="F4" s="6" t="inlineStr">
        <is>
          <t>c (kPa)</t>
        </is>
      </c>
      <c r="G4" s="6" t="inlineStr">
        <is>
          <t>Hệ số A</t>
        </is>
      </c>
      <c r="H4" s="6" t="inlineStr">
        <is>
          <t>Hệ số B</t>
        </is>
      </c>
      <c r="I4" s="6" t="inlineStr">
        <is>
          <t>Hệ số D</t>
        </is>
      </c>
      <c r="J4" s="6" t="inlineStr">
        <is>
          <t>Áp lực R (kPa)</t>
        </is>
      </c>
      <c r="K4" s="6" t="inlineStr">
        <is>
          <t>ptc (kPa)</t>
        </is>
      </c>
      <c r="L4" s="6" t="inlineStr">
        <is>
          <t>Kết luận</t>
        </is>
      </c>
    </row>
    <row r="5">
      <c r="B5" s="8" t="inlineStr">
        <is>
          <t>Mùa khô</t>
        </is>
      </c>
      <c r="C5" s="9" t="n">
        <v>1.5</v>
      </c>
      <c r="D5" s="9" t="n">
        <v>1</v>
      </c>
      <c r="E5" s="9" t="n">
        <v>24</v>
      </c>
      <c r="F5" s="9" t="n">
        <v>28</v>
      </c>
      <c r="G5" s="10" t="n">
        <v>0.72</v>
      </c>
      <c r="H5" s="10" t="n">
        <v>3.87</v>
      </c>
      <c r="I5" s="10" t="n">
        <v>6.45</v>
      </c>
      <c r="J5" s="9">
        <f>1.2 * (G5 * C5 * 17.5 + H5 * D5 * 17.5 + I5 * F5)</f>
        <v/>
      </c>
      <c r="K5" s="9">
        <f>500 / (C5^2)</f>
        <v/>
      </c>
      <c r="L5" s="8">
        <f>IF(K5&lt;=J5, "ĐẠT TCVN 9362", "KHÔNG ĐẠT (Vượt R)")</f>
        <v/>
      </c>
    </row>
    <row r="6">
      <c r="B6" s="8" t="inlineStr">
        <is>
          <t>Mùa khô</t>
        </is>
      </c>
      <c r="C6" s="9" t="n">
        <v>2</v>
      </c>
      <c r="D6" s="9" t="n">
        <v>1</v>
      </c>
      <c r="E6" s="9" t="n">
        <v>24</v>
      </c>
      <c r="F6" s="9" t="n">
        <v>28</v>
      </c>
      <c r="G6" s="10" t="n">
        <v>0.72</v>
      </c>
      <c r="H6" s="10" t="n">
        <v>3.87</v>
      </c>
      <c r="I6" s="10" t="n">
        <v>6.45</v>
      </c>
      <c r="J6" s="9">
        <f>1.2 * (G6 * C6 * 17.5 + H6 * D6 * 17.5 + I6 * F6)</f>
        <v/>
      </c>
      <c r="K6" s="9">
        <f>500 / (C6^2)</f>
        <v/>
      </c>
      <c r="L6" s="8">
        <f>IF(K6&lt;=J6, "ĐẠT TCVN 9362", "KHÔNG ĐẠT (Vượt R)")</f>
        <v/>
      </c>
    </row>
    <row r="7">
      <c r="B7" s="8" t="inlineStr">
        <is>
          <t>Mùa mưa</t>
        </is>
      </c>
      <c r="C7" s="9" t="n">
        <v>1.5</v>
      </c>
      <c r="D7" s="9" t="n">
        <v>1</v>
      </c>
      <c r="E7" s="9" t="n">
        <v>14</v>
      </c>
      <c r="F7" s="9" t="n">
        <v>10</v>
      </c>
      <c r="G7" s="10" t="n">
        <v>0.29</v>
      </c>
      <c r="H7" s="10" t="n">
        <v>2.17</v>
      </c>
      <c r="I7" s="10" t="n">
        <v>4.69</v>
      </c>
      <c r="J7" s="9">
        <f>1.2 * (G7 * C7 * 8.69 + H7 * D7 * 8.69 + I7 * F7)</f>
        <v/>
      </c>
      <c r="K7" s="9">
        <f>500 / (C7^2)</f>
        <v/>
      </c>
      <c r="L7" s="8">
        <f>IF(K7&lt;=J7, "ĐẠT TCVN 9362", "KHÔNG ĐẠT (Vượt R)")</f>
        <v/>
      </c>
    </row>
    <row r="8">
      <c r="B8" s="8" t="inlineStr">
        <is>
          <t>Mùa mưa</t>
        </is>
      </c>
      <c r="C8" s="9" t="n">
        <v>2</v>
      </c>
      <c r="D8" s="9" t="n">
        <v>1</v>
      </c>
      <c r="E8" s="9" t="n">
        <v>14</v>
      </c>
      <c r="F8" s="9" t="n">
        <v>10</v>
      </c>
      <c r="G8" s="10" t="n">
        <v>0.29</v>
      </c>
      <c r="H8" s="10" t="n">
        <v>2.17</v>
      </c>
      <c r="I8" s="10" t="n">
        <v>4.69</v>
      </c>
      <c r="J8" s="9">
        <f>1.2 * (G8 * C8 * 8.69 + H8 * D8 * 8.69 + I8 * F8)</f>
        <v/>
      </c>
      <c r="K8" s="9">
        <f>500 / (C8^2)</f>
        <v/>
      </c>
      <c r="L8" s="8">
        <f>IF(K8&lt;=J8, "ĐẠT TCVN 9362", "KHÔNG ĐẠT (Vượt R)")</f>
        <v/>
      </c>
    </row>
    <row r="9">
      <c r="B9" s="8" t="inlineStr">
        <is>
          <t>Mùa mưa</t>
        </is>
      </c>
      <c r="C9" s="9" t="n">
        <v>2.2</v>
      </c>
      <c r="D9" s="9" t="n">
        <v>1.5</v>
      </c>
      <c r="E9" s="9" t="n">
        <v>14</v>
      </c>
      <c r="F9" s="9" t="n">
        <v>10</v>
      </c>
      <c r="G9" s="10" t="n">
        <v>0.29</v>
      </c>
      <c r="H9" s="10" t="n">
        <v>2.17</v>
      </c>
      <c r="I9" s="10" t="n">
        <v>4.69</v>
      </c>
      <c r="J9" s="9">
        <f>1.2 * (G9 * C9 * 8.69 + H9 * D9 * 8.69 + I9 * F9)</f>
        <v/>
      </c>
      <c r="K9" s="9">
        <f>500 / (C9^2)</f>
        <v/>
      </c>
      <c r="L9" s="8">
        <f>IF(K9&lt;=J9, "ĐẠT TCVN 9362", "KHÔNG ĐẠT (Vượt R)")</f>
        <v/>
      </c>
    </row>
    <row r="10">
      <c r="B10" s="8" t="inlineStr">
        <is>
          <t>Mùa mưa</t>
        </is>
      </c>
      <c r="C10" s="9" t="n">
        <v>2.5</v>
      </c>
      <c r="D10" s="9" t="n">
        <v>1.5</v>
      </c>
      <c r="E10" s="9" t="n">
        <v>14</v>
      </c>
      <c r="F10" s="9" t="n">
        <v>10</v>
      </c>
      <c r="G10" s="10" t="n">
        <v>0.29</v>
      </c>
      <c r="H10" s="10" t="n">
        <v>2.17</v>
      </c>
      <c r="I10" s="10" t="n">
        <v>4.69</v>
      </c>
      <c r="J10" s="9">
        <f>1.2 * (G10 * C10 * 8.69 + H10 * D10 * 8.69 + I10 * F10)</f>
        <v/>
      </c>
      <c r="K10" s="9">
        <f>500 / (C10^2)</f>
        <v/>
      </c>
      <c r="L10" s="8">
        <f>IF(K10&lt;=J10, "ĐẠT TCVN 9362", "KHÔNG ĐẠT (Vượt R)")</f>
        <v/>
      </c>
    </row>
    <row r="12">
      <c r="B12" t="inlineStr">
        <is>
          <t>Hệ số A, B, D tra Bảng 14 TCVN 9362:2012 theo φII: φ = 24° → 0,72; 3,87; 6,45. φ = 14° → 0,29; 2,17; 4,69. Hệ số m1·m2/ktc lấy 1,2 (giả định, nhóm tự xác định theo công trình).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1" workbookViewId="0">
      <selection activeCell="A1" sqref="A1"/>
    </sheetView>
  </sheetViews>
  <sheetFormatPr baseColWidth="8" defaultRowHeight="15"/>
  <cols>
    <col width="30" customWidth="1" min="2" max="2"/>
    <col width="85" customWidth="1" min="3" max="3"/>
  </cols>
  <sheetData>
    <row r="2">
      <c r="B2" s="3" t="inlineStr">
        <is>
          <t>PHÂN TÍCH ĐỊNH LƯỢNG SỰ CỐ PHÁ HOẠI CẮT KHO LÚA TRANSCONA (1913)</t>
        </is>
      </c>
    </row>
    <row r="4">
      <c r="B4" s="11" t="inlineStr">
        <is>
          <t>Kích thước móng bè:</t>
        </is>
      </c>
      <c r="C4" s="7" t="inlineStr">
        <is>
          <t>Bề rộng B = 23.5 m, Chiều dài L = 59.4 m, Chiều sâu chôn móng Df = 3.66 m</t>
        </is>
      </c>
    </row>
    <row r="5">
      <c r="B5" s="11" t="inlineStr">
        <is>
          <t>Tải trọng khi đầy tải:</t>
        </is>
      </c>
      <c r="C5" s="7" t="inlineStr">
        <is>
          <t>Tổng trọng lượng W = 420 MN (gồm 875.000 giạ lúa mì và kết cấu bê tông)</t>
        </is>
      </c>
    </row>
    <row r="6">
      <c r="B6" s="11" t="inlineStr">
        <is>
          <t>Áp lực tác dụng thực tế:</t>
        </is>
      </c>
      <c r="C6" s="7" t="inlineStr">
        <is>
          <t>p_thuc = W / (B * L) = 306.0 kPa</t>
        </is>
      </c>
    </row>
    <row r="7">
      <c r="B7" s="11" t="inlineStr">
        <is>
          <t>Địa chất nền móng:</t>
        </is>
      </c>
      <c r="C7" s="7" t="inlineStr">
        <is>
          <t>Sét bão hòa dẻo mềm, cu = 48.0 kPa, phi_u = 0 độ, gamma = 18.0 kN/m3</t>
        </is>
      </c>
    </row>
    <row r="8">
      <c r="B8" s="11" t="inlineStr">
        <is>
          <t>Sức chịu tải Prandtl/Terzaghi:</t>
        </is>
      </c>
      <c r="C8" s="7" t="inlineStr">
        <is>
          <t>q_ult = (1 + 0.2*B/L) * 5.14 * cu + gamma * Df</t>
        </is>
      </c>
    </row>
    <row r="9">
      <c r="B9" s="11" t="inlineStr">
        <is>
          <t>Giá trị q_ult tính toán:</t>
        </is>
      </c>
      <c r="C9" s="7" t="inlineStr">
        <is>
          <t>(1 + 0,2 × 23,5/59,4) × 5,14 × 48,0 + 18,0 × 3,66 = 266,2 + 65,9 ≈ 332 kPa</t>
        </is>
      </c>
    </row>
    <row r="10">
      <c r="B10" s="11" t="inlineStr">
        <is>
          <t>Hệ số an toàn thực tế FS:</t>
        </is>
      </c>
      <c r="C10" s="7" t="inlineStr">
        <is>
          <t>FS = q_ult / p_thực ≈ 332 / 306 ≈ 1,09 — sát 1, không đủ an toàn (yêu cầu FS ≥ 3). Phân tích sau sự cố (Peck &amp; Bryant, 1953) cho thấy sức chịu tải giới hạn xấp xỉ áp lực tác dụng nên nền bị phá hoại.</t>
        </is>
      </c>
    </row>
    <row r="11">
      <c r="B11" s="11" t="inlineStr">
        <is>
          <t>Hiện tượng xảy ra:</t>
        </is>
      </c>
      <c r="C11" s="7" t="inlineStr">
        <is>
          <t>Móng bị trượt xoay theo mặt trượt trụ tròn, công trình lật nghiêng 27 độ sang phía tây</t>
        </is>
      </c>
    </row>
    <row r="12">
      <c r="B12" s="11" t="inlineStr">
        <is>
          <t>Bài học rút ra:</t>
        </is>
      </c>
      <c r="C12" s="7" t="inlineStr">
        <is>
          <t>Bắt buộc phải khống chế tải trọng tác dụng p &lt;= q_ult / 3; quan trắc áp lực nước lỗ rỗng và thí nghiệm xác định chính xác cu tại hiện trường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2026-10-14T03:49:05Z</dcterms:created>
  <dcterms:modified xmlns:dcterms="http://purl.org/dc/terms/" xmlns:xsi="http://www.w3.org/2001/XMLSchema-instance" xsi:type="dcterms:W3CDTF">2026-10-14T05:16:57Z</dcterms:modified>
</cp:coreProperties>
</file>