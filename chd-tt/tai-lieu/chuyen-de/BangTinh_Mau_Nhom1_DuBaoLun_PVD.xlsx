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_Bia" sheetId="1" state="visible" r:id="rId1"/>
    <sheet xmlns:r="http://schemas.openxmlformats.org/officeDocument/2006/relationships" name="Du_Lieu_Goc_PTN" sheetId="2" state="visible" r:id="rId2"/>
    <sheet xmlns:r="http://schemas.openxmlformats.org/officeDocument/2006/relationships" name="Phan_Bo_Ung_Suat" sheetId="3" state="visible" r:id="rId3"/>
    <sheet xmlns:r="http://schemas.openxmlformats.org/officeDocument/2006/relationships" name="Tinh_Lun_Cc_Cr_TCVN" sheetId="4" state="visible" r:id="rId4"/>
    <sheet xmlns:r="http://schemas.openxmlformats.org/officeDocument/2006/relationships" name="Tien_Trinh_Lun_PV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"/>
    <numFmt numFmtId="167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555555"/>
      <sz val="11"/>
    </font>
    <font>
      <name val="Calibri"/>
      <b val="1"/>
      <color rgb="000B2545"/>
      <sz val="16"/>
    </font>
    <font>
      <name val="Calibri"/>
      <b val="1"/>
      <color rgb="00134074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34074"/>
        <bgColor rgb="00134074"/>
      </patternFill>
    </fill>
    <fill>
      <patternFill patternType="solid">
        <fgColor rgb="00F2DCDB"/>
        <bgColor rgb="00F2DCDB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166" fontId="5" fillId="0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80" customWidth="1" min="3" max="3"/>
  </cols>
  <sheetData>
    <row r="2">
      <c r="B2" s="1" t="inlineStr">
        <is>
          <t>TRƯỜNG ĐẠI HỌC KHOA HỌC TỰ NHIÊN – KHOA ĐỊA CHẤT</t>
        </is>
      </c>
    </row>
    <row r="3">
      <c r="B3" s="1" t="inlineStr">
        <is>
          <t>BỘ MÔN ĐỊA CHẤT CÔNG TRÌNH - ĐỊA CHẤT THỦY VĂN</t>
        </is>
      </c>
    </row>
    <row r="5">
      <c r="B5" s="2" t="inlineStr">
        <is>
          <t>BẢNG TÍNH KỸ THUẬT DỰ BÁO LÚN NỀN ĐẮP &amp; THIẾT KẾ BẤC THẤM (PVD)</t>
        </is>
      </c>
    </row>
    <row r="6">
      <c r="B6" s="3" t="inlineStr">
        <is>
          <t>CHUYÊN ĐỀ BÁO CÁO NHÓM 1 — CHƯƠNG 3 (HỌC PHẦN CƠ HỌC ĐẤT GEO20202)</t>
        </is>
      </c>
    </row>
    <row r="8">
      <c r="B8" s="4" t="inlineStr">
        <is>
          <t>Tên dự án:</t>
        </is>
      </c>
      <c r="C8" s="5" t="inlineStr">
        <is>
          <t>Dự báo lún và tiến trình cố kết nền đường đầu cầu đắp trên bùn sét dày 15m</t>
        </is>
      </c>
    </row>
    <row r="9">
      <c r="B9" s="4" t="inlineStr">
        <is>
          <t>Tải trọng đắp:</t>
        </is>
      </c>
      <c r="C9" s="5" t="inlineStr">
        <is>
          <t>Chiều cao đắp H = 3.0 m, dung trọng đất đắp gamma = 19.0 kN/m3 -&gt; Tải trọng q = 57.0 kPa</t>
        </is>
      </c>
    </row>
    <row r="10">
      <c r="B10" s="4" t="inlineStr">
        <is>
          <t>Bề rộng nền đường:</t>
        </is>
      </c>
      <c r="C10" s="5" t="inlineStr">
        <is>
          <t>Đỉnh đường B = 12.0 m, Mái dốc m = 1:1.5 -&gt; Đáy nền b = 21.0 m</t>
        </is>
      </c>
    </row>
    <row r="11">
      <c r="B11" s="4" t="inlineStr">
        <is>
          <t>Địa tầng đất yếu:</t>
        </is>
      </c>
      <c r="C11" s="5" t="inlineStr">
        <is>
          <t>Tầng bùn sét bão hòa dày H = 15.0 m, MNN ở độ sâu 1.0 m (Thoát nước 2 phía: Hdr = 7.5 m)</t>
        </is>
      </c>
    </row>
    <row r="12">
      <c r="B12" s="4" t="inlineStr">
        <is>
          <t>Thành viên nhóm:</t>
        </is>
      </c>
      <c r="C12" s="5" t="inlineStr">
        <is>
          <t>SV1 (Trưởng nhóm), SV2 (Kỹ sư Dữ liệu), SV3 (Kỹ sư Tính toán), SV4 (Báo cáo &amp; Thuyết trình)</t>
        </is>
      </c>
    </row>
    <row r="13">
      <c r="B13" s="4" t="inlineStr">
        <is>
          <t>Giảng viên phụ trách:</t>
        </is>
      </c>
      <c r="C13" s="5" t="inlineStr">
        <is>
          <t>Đinh Quốc Tuấn, Đỗ Ngọc Thanh (thực hành); Hồ Thu Hiền (lý thuyết)</t>
        </is>
      </c>
    </row>
    <row r="14">
      <c r="B14" s="4" t="inlineStr">
        <is>
          <t>Ngày hoàn thành:</t>
        </is>
      </c>
      <c r="C14" s="5" t="inlineStr">
        <is>
          <t>Học kỳ I - Năm học 2026 - 2027</t>
        </is>
      </c>
    </row>
    <row r="17">
      <c r="B17" s="3" t="inlineStr">
        <is>
          <t>CÁC SHEET TÍNH TOÁN TRONG BẢNG TÍNH:</t>
        </is>
      </c>
    </row>
    <row r="19">
      <c r="B19" s="4" t="inlineStr">
        <is>
          <t>1. Trang_Bia</t>
        </is>
      </c>
      <c r="C19" s="5" t="inlineStr">
        <is>
          <t>Thông tin chung dự án, thông số hình học và pháp lý</t>
        </is>
      </c>
    </row>
    <row r="20">
      <c r="B20" s="4" t="inlineStr">
        <is>
          <t>2. Du_Lieu_Goc_PTN</t>
        </is>
      </c>
      <c r="C20" s="5" t="inlineStr">
        <is>
          <t>Dữ liệu thô thí nghiệm nén cố kết và chỉ tiêu cơ lý 6 phiếu tại PTN</t>
        </is>
      </c>
    </row>
    <row r="21">
      <c r="B21" s="4" t="inlineStr">
        <is>
          <t>3. Phan_Bo_Ung_Suat</t>
        </is>
      </c>
      <c r="C21" s="5" t="inlineStr">
        <is>
          <t>Tính ứng suất bản thân có hiệu và gia tăng ứng suất hình thang qua 10 phân lớp</t>
        </is>
      </c>
    </row>
    <row r="22">
      <c r="B22" s="4" t="inlineStr">
        <is>
          <t>4. Tinh_Lun_Cc_Cr_TCVN</t>
        </is>
      </c>
      <c r="C22" s="5" t="inlineStr">
        <is>
          <t>Tính toán độ lún cố kết cuối cùng theo Cc, Cr (OCR) và mô đun E0 TCVN 9362:2012</t>
        </is>
      </c>
    </row>
    <row r="23">
      <c r="B23" s="4" t="inlineStr">
        <is>
          <t>5. Tien_Trinh_Lun_PVD</t>
        </is>
      </c>
      <c r="C23" s="5" t="inlineStr">
        <is>
          <t>Dự báo tiến trình lún tự nhiên theo Terzaghi và gia tốc cố kết bằng bấc thấm PVD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30" customWidth="1" min="3" max="3"/>
    <col width="12" customWidth="1" min="4" max="4"/>
    <col width="15" customWidth="1" min="5" max="5"/>
    <col width="12" customWidth="1" min="6" max="6"/>
    <col width="35" customWidth="1" min="7" max="7"/>
  </cols>
  <sheetData>
    <row r="2">
      <c r="B2" s="3" t="inlineStr">
        <is>
          <t>BẢNG TỔNG HỢP CHỈ TIÊU CƠ LÝ VÀ SỐ LIỆU THÍ NGHIỆM NÉN CỐ KẾT (TỪ 06 PHIẾU PTN)</t>
        </is>
      </c>
    </row>
    <row r="4">
      <c r="B4" s="6" t="inlineStr">
        <is>
          <t>STT</t>
        </is>
      </c>
      <c r="C4" s="6" t="inlineStr">
        <is>
          <t>Chỉ tiêu thí nghiệm</t>
        </is>
      </c>
      <c r="D4" s="6" t="inlineStr">
        <is>
          <t>Ký hiệu</t>
        </is>
      </c>
      <c r="E4" s="6" t="inlineStr">
        <is>
          <t>Giá trị</t>
        </is>
      </c>
      <c r="F4" s="6" t="inlineStr">
        <is>
          <t>Đơn vị</t>
        </is>
      </c>
      <c r="G4" s="6" t="inlineStr">
        <is>
          <t>Tiêu chuẩn / Ghi chú</t>
        </is>
      </c>
    </row>
    <row r="5">
      <c r="B5" s="7" t="n">
        <v>1</v>
      </c>
      <c r="C5" s="8" t="inlineStr">
        <is>
          <t>Khối lượng thể tích tự nhiên</t>
        </is>
      </c>
      <c r="D5" s="7" t="inlineStr">
        <is>
          <t>gamma</t>
        </is>
      </c>
      <c r="E5" s="9" t="n">
        <v>15.8</v>
      </c>
      <c r="F5" s="7" t="inlineStr">
        <is>
          <t>kN/m3</t>
        </is>
      </c>
      <c r="G5" s="8" t="inlineStr">
        <is>
          <t>TCVN 4197:2012 - Dao vòng</t>
        </is>
      </c>
    </row>
    <row r="6">
      <c r="B6" s="7" t="n">
        <v>2</v>
      </c>
      <c r="C6" s="8" t="inlineStr">
        <is>
          <t>Khối lượng riêng của hạt</t>
        </is>
      </c>
      <c r="D6" s="7" t="inlineStr">
        <is>
          <t>rho_s</t>
        </is>
      </c>
      <c r="E6" s="9" t="n">
        <v>2.68</v>
      </c>
      <c r="F6" s="7" t="inlineStr">
        <is>
          <t>g/cm3</t>
        </is>
      </c>
      <c r="G6" s="8" t="inlineStr">
        <is>
          <t>TCVN 4195:2012 - Bình tỷ trọng</t>
        </is>
      </c>
    </row>
    <row r="7">
      <c r="B7" s="7" t="n">
        <v>3</v>
      </c>
      <c r="C7" s="8" t="inlineStr">
        <is>
          <t>Độ ẩm tự nhiên</t>
        </is>
      </c>
      <c r="D7" s="7" t="inlineStr">
        <is>
          <t>w</t>
        </is>
      </c>
      <c r="E7" s="9" t="n">
        <v>58.5</v>
      </c>
      <c r="F7" s="7" t="inlineStr">
        <is>
          <t>%</t>
        </is>
      </c>
      <c r="G7" s="8" t="inlineStr">
        <is>
          <t>TCVN 4196:2012 - Sấy khô</t>
        </is>
      </c>
    </row>
    <row r="8">
      <c r="B8" s="7" t="n">
        <v>4</v>
      </c>
      <c r="C8" s="8" t="inlineStr">
        <is>
          <t>Giới hạn chảy</t>
        </is>
      </c>
      <c r="D8" s="7" t="inlineStr">
        <is>
          <t>w_L</t>
        </is>
      </c>
      <c r="E8" s="9" t="n">
        <v>62.4</v>
      </c>
      <c r="F8" s="7" t="inlineStr">
        <is>
          <t>%</t>
        </is>
      </c>
      <c r="G8" s="8" t="inlineStr">
        <is>
          <t>TCVN 4197:2012 - Quả dọi Casagrande</t>
        </is>
      </c>
    </row>
    <row r="9">
      <c r="B9" s="7" t="n">
        <v>5</v>
      </c>
      <c r="C9" s="8" t="inlineStr">
        <is>
          <t>Giới hạn dẻo</t>
        </is>
      </c>
      <c r="D9" s="7" t="inlineStr">
        <is>
          <t>w_P</t>
        </is>
      </c>
      <c r="E9" s="9" t="n">
        <v>29.1</v>
      </c>
      <c r="F9" s="7" t="inlineStr">
        <is>
          <t>%</t>
        </is>
      </c>
      <c r="G9" s="8" t="inlineStr">
        <is>
          <t>TCVN 4197:2012 - Lăn que đất</t>
        </is>
      </c>
    </row>
    <row r="10">
      <c r="B10" s="7" t="n">
        <v>6</v>
      </c>
      <c r="C10" s="8" t="inlineStr">
        <is>
          <t>Chỉ số dẻo</t>
        </is>
      </c>
      <c r="D10" s="7" t="inlineStr">
        <is>
          <t>I_P</t>
        </is>
      </c>
      <c r="E10" s="10">
        <f>E8-E9</f>
        <v/>
      </c>
      <c r="F10" s="7" t="inlineStr">
        <is>
          <t>%</t>
        </is>
      </c>
      <c r="G10" s="8" t="inlineStr">
        <is>
          <t>Đất sét dẻo cao</t>
        </is>
      </c>
    </row>
    <row r="11">
      <c r="B11" s="7" t="n">
        <v>7</v>
      </c>
      <c r="C11" s="8" t="inlineStr">
        <is>
          <t>Hệ số rỗng ban đầu</t>
        </is>
      </c>
      <c r="D11" s="7" t="inlineStr">
        <is>
          <t>e_0</t>
        </is>
      </c>
      <c r="E11" s="9" t="n">
        <v>1.62</v>
      </c>
      <c r="F11" s="7" t="inlineStr">
        <is>
          <t>-</t>
        </is>
      </c>
      <c r="G11" s="8" t="inlineStr">
        <is>
          <t>Xác định từ gamma, rho_s, w</t>
        </is>
      </c>
    </row>
    <row r="12">
      <c r="B12" s="7" t="n">
        <v>8</v>
      </c>
      <c r="C12" s="8" t="inlineStr">
        <is>
          <t>Áp lực tiền cố kết</t>
        </is>
      </c>
      <c r="D12" s="7" t="inlineStr">
        <is>
          <t>p_c</t>
        </is>
      </c>
      <c r="E12" s="9" t="n">
        <v>42</v>
      </c>
      <c r="F12" s="7" t="inlineStr">
        <is>
          <t>kPa</t>
        </is>
      </c>
      <c r="G12" s="8" t="inlineStr">
        <is>
          <t>Đồ họa Casagrande từ đường e - log p</t>
        </is>
      </c>
    </row>
    <row r="13">
      <c r="B13" s="7" t="n">
        <v>9</v>
      </c>
      <c r="C13" s="8" t="inlineStr">
        <is>
          <t>Chỉ số nén lún</t>
        </is>
      </c>
      <c r="D13" s="7" t="inlineStr">
        <is>
          <t>C_c</t>
        </is>
      </c>
      <c r="E13" s="9" t="n">
        <v>0.58</v>
      </c>
      <c r="F13" s="7" t="inlineStr">
        <is>
          <t>-</t>
        </is>
      </c>
      <c r="G13" s="8" t="inlineStr">
        <is>
          <t>Độ dốc đoạn nén nguyên sinh</t>
        </is>
      </c>
    </row>
    <row r="14">
      <c r="B14" s="7" t="n">
        <v>10</v>
      </c>
      <c r="C14" s="8" t="inlineStr">
        <is>
          <t>Chỉ số nén lại (nở)</t>
        </is>
      </c>
      <c r="D14" s="7" t="inlineStr">
        <is>
          <t>C_r</t>
        </is>
      </c>
      <c r="E14" s="9" t="n">
        <v>0.065</v>
      </c>
      <c r="F14" s="7" t="inlineStr">
        <is>
          <t>-</t>
        </is>
      </c>
      <c r="G14" s="8" t="inlineStr">
        <is>
          <t>Độ dốc đoạn nén lại / dỡ tải</t>
        </is>
      </c>
    </row>
    <row r="15">
      <c r="B15" s="7" t="n">
        <v>11</v>
      </c>
      <c r="C15" s="8" t="inlineStr">
        <is>
          <t>Hệ số cố kết đứng</t>
        </is>
      </c>
      <c r="D15" s="7" t="inlineStr">
        <is>
          <t>c_v</t>
        </is>
      </c>
      <c r="E15" s="9" t="n">
        <v>0.000185</v>
      </c>
      <c r="F15" s="7" t="inlineStr">
        <is>
          <t>cm2/s</t>
        </is>
      </c>
      <c r="G15" s="8" t="inlineStr">
        <is>
          <t>Phương pháp Taylor căn t</t>
        </is>
      </c>
    </row>
    <row r="16">
      <c r="B16" s="7" t="n">
        <v>12</v>
      </c>
      <c r="C16" s="8" t="inlineStr">
        <is>
          <t>Hệ số cố kết quy đổi</t>
        </is>
      </c>
      <c r="D16" s="7" t="inlineStr">
        <is>
          <t>c_v_nam</t>
        </is>
      </c>
      <c r="E16" s="10">
        <f>E15*86400*365.25/10000</f>
        <v/>
      </c>
      <c r="F16" s="7" t="inlineStr">
        <is>
          <t>m2/năm</t>
        </is>
      </c>
      <c r="G16" s="8" t="inlineStr">
        <is>
          <t>1 cm²/s = 3155,76 m²/năm</t>
        </is>
      </c>
    </row>
    <row r="17">
      <c r="B17" s="7" t="n">
        <v>13</v>
      </c>
      <c r="C17" s="8" t="inlineStr">
        <is>
          <t>Hệ số cố kết ngang</t>
        </is>
      </c>
      <c r="D17" s="7" t="inlineStr">
        <is>
          <t>c_h</t>
        </is>
      </c>
      <c r="E17" s="10">
        <f>E16*2.0</f>
        <v/>
      </c>
      <c r="F17" s="7" t="inlineStr">
        <is>
          <t>m2/năm</t>
        </is>
      </c>
      <c r="G17" s="8" t="inlineStr">
        <is>
          <t>Đất sét trầm tích ch = 2*cv</t>
        </is>
      </c>
    </row>
    <row r="18">
      <c r="B18" s="7" t="n">
        <v>14</v>
      </c>
      <c r="C18" s="8" t="inlineStr">
        <is>
          <t>Mô đun biến dạng TB</t>
        </is>
      </c>
      <c r="D18" s="7" t="inlineStr">
        <is>
          <t>E_0</t>
        </is>
      </c>
      <c r="E18" s="9" t="n">
        <v>2.45</v>
      </c>
      <c r="F18" s="7" t="inlineStr">
        <is>
          <t>MPa</t>
        </is>
      </c>
      <c r="G18" s="8" t="inlineStr">
        <is>
          <t>TCVN 9362:2012 ứng với cấp 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3" t="inlineStr">
        <is>
          <t>PHÂN BỐ ỨNG SUẤT BẢN THÂN VÀ GIA TĂNG ỨNG SUẤT THẲNG ĐỨNG QUA 10 PHÂN LỚP</t>
        </is>
      </c>
    </row>
    <row r="4">
      <c r="B4" s="6" t="inlineStr">
        <is>
          <t>Lớp</t>
        </is>
      </c>
      <c r="C4" s="6" t="inlineStr">
        <is>
          <t>Độ sâu đáy (m)</t>
        </is>
      </c>
      <c r="D4" s="6" t="inlineStr">
        <is>
          <t>Chiều dày hi (m)</t>
        </is>
      </c>
      <c r="E4" s="6" t="inlineStr">
        <is>
          <t>Độ sâu tâm zi (m)</t>
        </is>
      </c>
      <c r="F4" s="6" t="inlineStr">
        <is>
          <t>gamma (kN/m3)</t>
        </is>
      </c>
      <c r="G4" s="6" t="inlineStr">
        <is>
          <t>sigma'v0i (kPa)</t>
        </is>
      </c>
      <c r="H4" s="6" t="inlineStr">
        <is>
          <t>delta_sigma_zi (kPa)</t>
        </is>
      </c>
      <c r="I4" s="6" t="inlineStr">
        <is>
          <t>sigma'vi_tong (kPa)</t>
        </is>
      </c>
      <c r="J4" s="6" t="inlineStr">
        <is>
          <t>Trạng thái OCR</t>
        </is>
      </c>
    </row>
    <row r="5">
      <c r="B5" s="7" t="n">
        <v>1</v>
      </c>
      <c r="C5" s="10" t="n">
        <v>1.5</v>
      </c>
      <c r="D5" s="10" t="n">
        <v>1.5</v>
      </c>
      <c r="E5" s="11" t="n">
        <v>0.75</v>
      </c>
      <c r="F5" s="10" t="n">
        <v>15.8</v>
      </c>
      <c r="G5" s="11">
        <f>MIN(E5,1.0)*F5+MAX(E5-1.0,0)*(F5-9.81)</f>
        <v/>
      </c>
      <c r="H5" s="11">
        <f>57.0 * 21.0 / (21.0 + E5)</f>
        <v/>
      </c>
      <c r="I5" s="11">
        <f>G5+H5</f>
        <v/>
      </c>
      <c r="J5" s="7">
        <f>IF(G5&lt;Du_Lieu_Goc_PTN!$E$12, "OC (Quá cố kết)", "NC (Cố kết thường)")</f>
        <v/>
      </c>
    </row>
    <row r="6">
      <c r="B6" s="7" t="n">
        <v>2</v>
      </c>
      <c r="C6" s="10" t="n">
        <v>3</v>
      </c>
      <c r="D6" s="10" t="n">
        <v>1.5</v>
      </c>
      <c r="E6" s="11" t="n">
        <v>2.25</v>
      </c>
      <c r="F6" s="10" t="n">
        <v>15.8</v>
      </c>
      <c r="G6" s="11">
        <f>MIN(E6,1.0)*F6+MAX(E6-1.0,0)*(F6-9.81)</f>
        <v/>
      </c>
      <c r="H6" s="11">
        <f>57.0 * 21.0 / (21.0 + E6)</f>
        <v/>
      </c>
      <c r="I6" s="11">
        <f>G6+H6</f>
        <v/>
      </c>
      <c r="J6" s="7">
        <f>IF(G6&lt;Du_Lieu_Goc_PTN!$E$12, "OC (Quá cố kết)", "NC (Cố kết thường)")</f>
        <v/>
      </c>
    </row>
    <row r="7">
      <c r="B7" s="7" t="n">
        <v>3</v>
      </c>
      <c r="C7" s="10" t="n">
        <v>4.5</v>
      </c>
      <c r="D7" s="10" t="n">
        <v>1.5</v>
      </c>
      <c r="E7" s="11" t="n">
        <v>3.75</v>
      </c>
      <c r="F7" s="10" t="n">
        <v>15.8</v>
      </c>
      <c r="G7" s="11">
        <f>MIN(E7,1.0)*F7+MAX(E7-1.0,0)*(F7-9.81)</f>
        <v/>
      </c>
      <c r="H7" s="11">
        <f>57.0 * 21.0 / (21.0 + E7)</f>
        <v/>
      </c>
      <c r="I7" s="11">
        <f>G7+H7</f>
        <v/>
      </c>
      <c r="J7" s="7">
        <f>IF(G7&lt;Du_Lieu_Goc_PTN!$E$12, "OC (Quá cố kết)", "NC (Cố kết thường)")</f>
        <v/>
      </c>
    </row>
    <row r="8">
      <c r="B8" s="7" t="n">
        <v>4</v>
      </c>
      <c r="C8" s="10" t="n">
        <v>6</v>
      </c>
      <c r="D8" s="10" t="n">
        <v>1.5</v>
      </c>
      <c r="E8" s="11" t="n">
        <v>5.25</v>
      </c>
      <c r="F8" s="10" t="n">
        <v>15.8</v>
      </c>
      <c r="G8" s="11">
        <f>MIN(E8,1.0)*F8+MAX(E8-1.0,0)*(F8-9.81)</f>
        <v/>
      </c>
      <c r="H8" s="11">
        <f>57.0 * 21.0 / (21.0 + E8)</f>
        <v/>
      </c>
      <c r="I8" s="11">
        <f>G8+H8</f>
        <v/>
      </c>
      <c r="J8" s="7">
        <f>IF(G8&lt;Du_Lieu_Goc_PTN!$E$12, "OC (Quá cố kết)", "NC (Cố kết thường)")</f>
        <v/>
      </c>
    </row>
    <row r="9">
      <c r="B9" s="7" t="n">
        <v>5</v>
      </c>
      <c r="C9" s="10" t="n">
        <v>7.5</v>
      </c>
      <c r="D9" s="10" t="n">
        <v>1.5</v>
      </c>
      <c r="E9" s="11" t="n">
        <v>6.75</v>
      </c>
      <c r="F9" s="10" t="n">
        <v>15.8</v>
      </c>
      <c r="G9" s="11">
        <f>MIN(E9,1.0)*F9+MAX(E9-1.0,0)*(F9-9.81)</f>
        <v/>
      </c>
      <c r="H9" s="11">
        <f>57.0 * 21.0 / (21.0 + E9)</f>
        <v/>
      </c>
      <c r="I9" s="11">
        <f>G9+H9</f>
        <v/>
      </c>
      <c r="J9" s="7">
        <f>IF(G9&lt;Du_Lieu_Goc_PTN!$E$12, "OC (Quá cố kết)", "NC (Cố kết thường)")</f>
        <v/>
      </c>
    </row>
    <row r="10">
      <c r="B10" s="7" t="n">
        <v>6</v>
      </c>
      <c r="C10" s="10" t="n">
        <v>9</v>
      </c>
      <c r="D10" s="10" t="n">
        <v>1.5</v>
      </c>
      <c r="E10" s="11" t="n">
        <v>8.25</v>
      </c>
      <c r="F10" s="10" t="n">
        <v>15.8</v>
      </c>
      <c r="G10" s="11">
        <f>MIN(E10,1.0)*F10+MAX(E10-1.0,0)*(F10-9.81)</f>
        <v/>
      </c>
      <c r="H10" s="11">
        <f>57.0 * 21.0 / (21.0 + E10)</f>
        <v/>
      </c>
      <c r="I10" s="11">
        <f>G10+H10</f>
        <v/>
      </c>
      <c r="J10" s="7">
        <f>IF(G10&lt;Du_Lieu_Goc_PTN!$E$12, "OC (Quá cố kết)", "NC (Cố kết thường)")</f>
        <v/>
      </c>
    </row>
    <row r="11">
      <c r="B11" s="7" t="n">
        <v>7</v>
      </c>
      <c r="C11" s="10" t="n">
        <v>10.5</v>
      </c>
      <c r="D11" s="10" t="n">
        <v>1.5</v>
      </c>
      <c r="E11" s="11" t="n">
        <v>9.75</v>
      </c>
      <c r="F11" s="10" t="n">
        <v>15.8</v>
      </c>
      <c r="G11" s="11">
        <f>MIN(E11,1.0)*F11+MAX(E11-1.0,0)*(F11-9.81)</f>
        <v/>
      </c>
      <c r="H11" s="11">
        <f>57.0 * 21.0 / (21.0 + E11)</f>
        <v/>
      </c>
      <c r="I11" s="11">
        <f>G11+H11</f>
        <v/>
      </c>
      <c r="J11" s="7">
        <f>IF(G11&lt;Du_Lieu_Goc_PTN!$E$12, "OC (Quá cố kết)", "NC (Cố kết thường)")</f>
        <v/>
      </c>
    </row>
    <row r="12">
      <c r="B12" s="7" t="n">
        <v>8</v>
      </c>
      <c r="C12" s="10" t="n">
        <v>12</v>
      </c>
      <c r="D12" s="10" t="n">
        <v>1.5</v>
      </c>
      <c r="E12" s="11" t="n">
        <v>11.25</v>
      </c>
      <c r="F12" s="10" t="n">
        <v>15.8</v>
      </c>
      <c r="G12" s="11">
        <f>MIN(E12,1.0)*F12+MAX(E12-1.0,0)*(F12-9.81)</f>
        <v/>
      </c>
      <c r="H12" s="11">
        <f>57.0 * 21.0 / (21.0 + E12)</f>
        <v/>
      </c>
      <c r="I12" s="11">
        <f>G12+H12</f>
        <v/>
      </c>
      <c r="J12" s="7">
        <f>IF(G12&lt;Du_Lieu_Goc_PTN!$E$12, "OC (Quá cố kết)", "NC (Cố kết thường)")</f>
        <v/>
      </c>
    </row>
    <row r="13">
      <c r="B13" s="7" t="n">
        <v>9</v>
      </c>
      <c r="C13" s="10" t="n">
        <v>13.5</v>
      </c>
      <c r="D13" s="10" t="n">
        <v>1.5</v>
      </c>
      <c r="E13" s="11" t="n">
        <v>12.75</v>
      </c>
      <c r="F13" s="10" t="n">
        <v>15.8</v>
      </c>
      <c r="G13" s="11">
        <f>MIN(E13,1.0)*F13+MAX(E13-1.0,0)*(F13-9.81)</f>
        <v/>
      </c>
      <c r="H13" s="11">
        <f>57.0 * 21.0 / (21.0 + E13)</f>
        <v/>
      </c>
      <c r="I13" s="11">
        <f>G13+H13</f>
        <v/>
      </c>
      <c r="J13" s="7">
        <f>IF(G13&lt;Du_Lieu_Goc_PTN!$E$12, "OC (Quá cố kết)", "NC (Cố kết thường)")</f>
        <v/>
      </c>
    </row>
    <row r="14">
      <c r="B14" s="7" t="n">
        <v>10</v>
      </c>
      <c r="C14" s="10" t="n">
        <v>15</v>
      </c>
      <c r="D14" s="10" t="n">
        <v>1.5</v>
      </c>
      <c r="E14" s="11" t="n">
        <v>14.25</v>
      </c>
      <c r="F14" s="10" t="n">
        <v>15.8</v>
      </c>
      <c r="G14" s="11">
        <f>MIN(E14,1.0)*F14+MAX(E14-1.0,0)*(F14-9.81)</f>
        <v/>
      </c>
      <c r="H14" s="11">
        <f>57.0 * 21.0 / (21.0 + E14)</f>
        <v/>
      </c>
      <c r="I14" s="11">
        <f>G14+H14</f>
        <v/>
      </c>
      <c r="J14" s="7">
        <f>IF(G14&lt;Du_Lieu_Goc_PTN!$E$12, "OC (Quá cố kết)", "NC (Cố kết thường)")</f>
        <v/>
      </c>
    </row>
    <row r="16">
      <c r="B16" t="inlineStr">
        <is>
          <t>Ghi chú: σ′v0 = γ·min(z; 1,0) + (γ − 9,81)·max(z − 1,0; 0) vì MNN sâu 1,0 m. Δσ tính gần đúng bằng góc truyền 2:1 trên đáy nền đắp b = 21 m; nhóm thay bằng nghiệm tải hình thang (Osterberg) khi làm chuyên đề.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3" t="inlineStr">
        <is>
          <t>SO SÁNH KẾT QUẢ TÍNH LÚN THEO Cc, Cr (XÉT OCR) VÀ TCVN 9362:2012</t>
        </is>
      </c>
    </row>
    <row r="4">
      <c r="B4" s="6" t="inlineStr">
        <is>
          <t>Lớp</t>
        </is>
      </c>
      <c r="C4" s="6" t="inlineStr">
        <is>
          <t>hi (m)</t>
        </is>
      </c>
      <c r="D4" s="6" t="inlineStr">
        <is>
          <t>sigma'v0i (kPa)</t>
        </is>
      </c>
      <c r="E4" s="6" t="inlineStr">
        <is>
          <t>delta_sigma (kPa)</t>
        </is>
      </c>
      <c r="F4" s="6" t="inlineStr">
        <is>
          <t>sigma'vi_tong (kPa)</t>
        </is>
      </c>
      <c r="G4" s="6" t="inlineStr">
        <is>
          <t>Lun Sc theo Cc, Cr (cm)</t>
        </is>
      </c>
      <c r="H4" s="6" t="inlineStr">
        <is>
          <t>Lun S theo TCVN 9362 (cm)</t>
        </is>
      </c>
      <c r="I4" s="6" t="inlineStr">
        <is>
          <t>Chênh lệch (cm)</t>
        </is>
      </c>
    </row>
    <row r="5">
      <c r="B5" s="7" t="n">
        <v>1</v>
      </c>
      <c r="C5" s="10">
        <f>Phan_Bo_Ung_Suat!D5</f>
        <v/>
      </c>
      <c r="D5" s="11">
        <f>Phan_Bo_Ung_Suat!G5</f>
        <v/>
      </c>
      <c r="E5" s="11">
        <f>Phan_Bo_Ung_Suat!H5</f>
        <v/>
      </c>
      <c r="F5" s="11">
        <f>Phan_Bo_Ung_Suat!I5</f>
        <v/>
      </c>
      <c r="G5" s="11">
        <f>IF(D5&gt;=Du_Lieu_Goc_PTN!$E$12, (Du_Lieu_Goc_PTN!$E$13/(1+Du_Lieu_Goc_PTN!$E$11))*C5*LOG10(F5/D5)*100, IF(F5&lt;=Du_Lieu_Goc_PTN!$E$12, (Du_Lieu_Goc_PTN!$E$14/(1+Du_Lieu_Goc_PTN!$E$11))*C5*LOG10(F5/D5)*100, ((Du_Lieu_Goc_PTN!$E$14/(1+Du_Lieu_Goc_PTN!$E$11))*C5*LOG10(Du_Lieu_Goc_PTN!$E$12/D5) + (Du_Lieu_Goc_PTN!$E$13/(1+Du_Lieu_Goc_PTN!$E$11))*C5*LOG10(F5/Du_Lieu_Goc_PTN!$E$12))*100))</f>
        <v/>
      </c>
      <c r="H5" s="11">
        <f>0.8 * E5 * C5 / (Du_Lieu_Goc_PTN!$E$18 * 1000) * 100</f>
        <v/>
      </c>
      <c r="I5" s="11">
        <f>G5-H5</f>
        <v/>
      </c>
    </row>
    <row r="6">
      <c r="B6" s="7" t="n">
        <v>2</v>
      </c>
      <c r="C6" s="10">
        <f>Phan_Bo_Ung_Suat!D6</f>
        <v/>
      </c>
      <c r="D6" s="11">
        <f>Phan_Bo_Ung_Suat!G6</f>
        <v/>
      </c>
      <c r="E6" s="11">
        <f>Phan_Bo_Ung_Suat!H6</f>
        <v/>
      </c>
      <c r="F6" s="11">
        <f>Phan_Bo_Ung_Suat!I6</f>
        <v/>
      </c>
      <c r="G6" s="11">
        <f>IF(D6&gt;=Du_Lieu_Goc_PTN!$E$12, (Du_Lieu_Goc_PTN!$E$13/(1+Du_Lieu_Goc_PTN!$E$11))*C6*LOG10(F6/D6)*100, IF(F6&lt;=Du_Lieu_Goc_PTN!$E$12, (Du_Lieu_Goc_PTN!$E$14/(1+Du_Lieu_Goc_PTN!$E$11))*C6*LOG10(F6/D6)*100, ((Du_Lieu_Goc_PTN!$E$14/(1+Du_Lieu_Goc_PTN!$E$11))*C6*LOG10(Du_Lieu_Goc_PTN!$E$12/D6) + (Du_Lieu_Goc_PTN!$E$13/(1+Du_Lieu_Goc_PTN!$E$11))*C6*LOG10(F6/Du_Lieu_Goc_PTN!$E$12))*100))</f>
        <v/>
      </c>
      <c r="H6" s="11">
        <f>0.8 * E6 * C6 / (Du_Lieu_Goc_PTN!$E$18 * 1000) * 100</f>
        <v/>
      </c>
      <c r="I6" s="11">
        <f>G6-H6</f>
        <v/>
      </c>
    </row>
    <row r="7">
      <c r="B7" s="7" t="n">
        <v>3</v>
      </c>
      <c r="C7" s="10">
        <f>Phan_Bo_Ung_Suat!D7</f>
        <v/>
      </c>
      <c r="D7" s="11">
        <f>Phan_Bo_Ung_Suat!G7</f>
        <v/>
      </c>
      <c r="E7" s="11">
        <f>Phan_Bo_Ung_Suat!H7</f>
        <v/>
      </c>
      <c r="F7" s="11">
        <f>Phan_Bo_Ung_Suat!I7</f>
        <v/>
      </c>
      <c r="G7" s="11">
        <f>IF(D7&gt;=Du_Lieu_Goc_PTN!$E$12, (Du_Lieu_Goc_PTN!$E$13/(1+Du_Lieu_Goc_PTN!$E$11))*C7*LOG10(F7/D7)*100, IF(F7&lt;=Du_Lieu_Goc_PTN!$E$12, (Du_Lieu_Goc_PTN!$E$14/(1+Du_Lieu_Goc_PTN!$E$11))*C7*LOG10(F7/D7)*100, ((Du_Lieu_Goc_PTN!$E$14/(1+Du_Lieu_Goc_PTN!$E$11))*C7*LOG10(Du_Lieu_Goc_PTN!$E$12/D7) + (Du_Lieu_Goc_PTN!$E$13/(1+Du_Lieu_Goc_PTN!$E$11))*C7*LOG10(F7/Du_Lieu_Goc_PTN!$E$12))*100))</f>
        <v/>
      </c>
      <c r="H7" s="11">
        <f>0.8 * E7 * C7 / (Du_Lieu_Goc_PTN!$E$18 * 1000) * 100</f>
        <v/>
      </c>
      <c r="I7" s="11">
        <f>G7-H7</f>
        <v/>
      </c>
    </row>
    <row r="8">
      <c r="B8" s="7" t="n">
        <v>4</v>
      </c>
      <c r="C8" s="10">
        <f>Phan_Bo_Ung_Suat!D8</f>
        <v/>
      </c>
      <c r="D8" s="11">
        <f>Phan_Bo_Ung_Suat!G8</f>
        <v/>
      </c>
      <c r="E8" s="11">
        <f>Phan_Bo_Ung_Suat!H8</f>
        <v/>
      </c>
      <c r="F8" s="11">
        <f>Phan_Bo_Ung_Suat!I8</f>
        <v/>
      </c>
      <c r="G8" s="11">
        <f>IF(D8&gt;=Du_Lieu_Goc_PTN!$E$12, (Du_Lieu_Goc_PTN!$E$13/(1+Du_Lieu_Goc_PTN!$E$11))*C8*LOG10(F8/D8)*100, IF(F8&lt;=Du_Lieu_Goc_PTN!$E$12, (Du_Lieu_Goc_PTN!$E$14/(1+Du_Lieu_Goc_PTN!$E$11))*C8*LOG10(F8/D8)*100, ((Du_Lieu_Goc_PTN!$E$14/(1+Du_Lieu_Goc_PTN!$E$11))*C8*LOG10(Du_Lieu_Goc_PTN!$E$12/D8) + (Du_Lieu_Goc_PTN!$E$13/(1+Du_Lieu_Goc_PTN!$E$11))*C8*LOG10(F8/Du_Lieu_Goc_PTN!$E$12))*100))</f>
        <v/>
      </c>
      <c r="H8" s="11">
        <f>0.8 * E8 * C8 / (Du_Lieu_Goc_PTN!$E$18 * 1000) * 100</f>
        <v/>
      </c>
      <c r="I8" s="11">
        <f>G8-H8</f>
        <v/>
      </c>
    </row>
    <row r="9">
      <c r="B9" s="7" t="n">
        <v>5</v>
      </c>
      <c r="C9" s="10">
        <f>Phan_Bo_Ung_Suat!D9</f>
        <v/>
      </c>
      <c r="D9" s="11">
        <f>Phan_Bo_Ung_Suat!G9</f>
        <v/>
      </c>
      <c r="E9" s="11">
        <f>Phan_Bo_Ung_Suat!H9</f>
        <v/>
      </c>
      <c r="F9" s="11">
        <f>Phan_Bo_Ung_Suat!I9</f>
        <v/>
      </c>
      <c r="G9" s="11">
        <f>IF(D9&gt;=Du_Lieu_Goc_PTN!$E$12, (Du_Lieu_Goc_PTN!$E$13/(1+Du_Lieu_Goc_PTN!$E$11))*C9*LOG10(F9/D9)*100, IF(F9&lt;=Du_Lieu_Goc_PTN!$E$12, (Du_Lieu_Goc_PTN!$E$14/(1+Du_Lieu_Goc_PTN!$E$11))*C9*LOG10(F9/D9)*100, ((Du_Lieu_Goc_PTN!$E$14/(1+Du_Lieu_Goc_PTN!$E$11))*C9*LOG10(Du_Lieu_Goc_PTN!$E$12/D9) + (Du_Lieu_Goc_PTN!$E$13/(1+Du_Lieu_Goc_PTN!$E$11))*C9*LOG10(F9/Du_Lieu_Goc_PTN!$E$12))*100))</f>
        <v/>
      </c>
      <c r="H9" s="11">
        <f>0.8 * E9 * C9 / (Du_Lieu_Goc_PTN!$E$18 * 1000) * 100</f>
        <v/>
      </c>
      <c r="I9" s="11">
        <f>G9-H9</f>
        <v/>
      </c>
    </row>
    <row r="10">
      <c r="B10" s="7" t="n">
        <v>6</v>
      </c>
      <c r="C10" s="10">
        <f>Phan_Bo_Ung_Suat!D10</f>
        <v/>
      </c>
      <c r="D10" s="11">
        <f>Phan_Bo_Ung_Suat!G10</f>
        <v/>
      </c>
      <c r="E10" s="11">
        <f>Phan_Bo_Ung_Suat!H10</f>
        <v/>
      </c>
      <c r="F10" s="11">
        <f>Phan_Bo_Ung_Suat!I10</f>
        <v/>
      </c>
      <c r="G10" s="11">
        <f>IF(D10&gt;=Du_Lieu_Goc_PTN!$E$12, (Du_Lieu_Goc_PTN!$E$13/(1+Du_Lieu_Goc_PTN!$E$11))*C10*LOG10(F10/D10)*100, IF(F10&lt;=Du_Lieu_Goc_PTN!$E$12, (Du_Lieu_Goc_PTN!$E$14/(1+Du_Lieu_Goc_PTN!$E$11))*C10*LOG10(F10/D10)*100, ((Du_Lieu_Goc_PTN!$E$14/(1+Du_Lieu_Goc_PTN!$E$11))*C10*LOG10(Du_Lieu_Goc_PTN!$E$12/D10) + (Du_Lieu_Goc_PTN!$E$13/(1+Du_Lieu_Goc_PTN!$E$11))*C10*LOG10(F10/Du_Lieu_Goc_PTN!$E$12))*100))</f>
        <v/>
      </c>
      <c r="H10" s="11">
        <f>0.8 * E10 * C10 / (Du_Lieu_Goc_PTN!$E$18 * 1000) * 100</f>
        <v/>
      </c>
      <c r="I10" s="11">
        <f>G10-H10</f>
        <v/>
      </c>
    </row>
    <row r="11">
      <c r="B11" s="7" t="n">
        <v>7</v>
      </c>
      <c r="C11" s="10">
        <f>Phan_Bo_Ung_Suat!D11</f>
        <v/>
      </c>
      <c r="D11" s="11">
        <f>Phan_Bo_Ung_Suat!G11</f>
        <v/>
      </c>
      <c r="E11" s="11">
        <f>Phan_Bo_Ung_Suat!H11</f>
        <v/>
      </c>
      <c r="F11" s="11">
        <f>Phan_Bo_Ung_Suat!I11</f>
        <v/>
      </c>
      <c r="G11" s="11">
        <f>IF(D11&gt;=Du_Lieu_Goc_PTN!$E$12, (Du_Lieu_Goc_PTN!$E$13/(1+Du_Lieu_Goc_PTN!$E$11))*C11*LOG10(F11/D11)*100, IF(F11&lt;=Du_Lieu_Goc_PTN!$E$12, (Du_Lieu_Goc_PTN!$E$14/(1+Du_Lieu_Goc_PTN!$E$11))*C11*LOG10(F11/D11)*100, ((Du_Lieu_Goc_PTN!$E$14/(1+Du_Lieu_Goc_PTN!$E$11))*C11*LOG10(Du_Lieu_Goc_PTN!$E$12/D11) + (Du_Lieu_Goc_PTN!$E$13/(1+Du_Lieu_Goc_PTN!$E$11))*C11*LOG10(F11/Du_Lieu_Goc_PTN!$E$12))*100))</f>
        <v/>
      </c>
      <c r="H11" s="11">
        <f>0.8 * E11 * C11 / (Du_Lieu_Goc_PTN!$E$18 * 1000) * 100</f>
        <v/>
      </c>
      <c r="I11" s="11">
        <f>G11-H11</f>
        <v/>
      </c>
    </row>
    <row r="12">
      <c r="B12" s="7" t="n">
        <v>8</v>
      </c>
      <c r="C12" s="10">
        <f>Phan_Bo_Ung_Suat!D12</f>
        <v/>
      </c>
      <c r="D12" s="11">
        <f>Phan_Bo_Ung_Suat!G12</f>
        <v/>
      </c>
      <c r="E12" s="11">
        <f>Phan_Bo_Ung_Suat!H12</f>
        <v/>
      </c>
      <c r="F12" s="11">
        <f>Phan_Bo_Ung_Suat!I12</f>
        <v/>
      </c>
      <c r="G12" s="11">
        <f>IF(D12&gt;=Du_Lieu_Goc_PTN!$E$12, (Du_Lieu_Goc_PTN!$E$13/(1+Du_Lieu_Goc_PTN!$E$11))*C12*LOG10(F12/D12)*100, IF(F12&lt;=Du_Lieu_Goc_PTN!$E$12, (Du_Lieu_Goc_PTN!$E$14/(1+Du_Lieu_Goc_PTN!$E$11))*C12*LOG10(F12/D12)*100, ((Du_Lieu_Goc_PTN!$E$14/(1+Du_Lieu_Goc_PTN!$E$11))*C12*LOG10(Du_Lieu_Goc_PTN!$E$12/D12) + (Du_Lieu_Goc_PTN!$E$13/(1+Du_Lieu_Goc_PTN!$E$11))*C12*LOG10(F12/Du_Lieu_Goc_PTN!$E$12))*100))</f>
        <v/>
      </c>
      <c r="H12" s="11">
        <f>0.8 * E12 * C12 / (Du_Lieu_Goc_PTN!$E$18 * 1000) * 100</f>
        <v/>
      </c>
      <c r="I12" s="11">
        <f>G12-H12</f>
        <v/>
      </c>
    </row>
    <row r="13">
      <c r="B13" s="7" t="n">
        <v>9</v>
      </c>
      <c r="C13" s="10">
        <f>Phan_Bo_Ung_Suat!D13</f>
        <v/>
      </c>
      <c r="D13" s="11">
        <f>Phan_Bo_Ung_Suat!G13</f>
        <v/>
      </c>
      <c r="E13" s="11">
        <f>Phan_Bo_Ung_Suat!H13</f>
        <v/>
      </c>
      <c r="F13" s="11">
        <f>Phan_Bo_Ung_Suat!I13</f>
        <v/>
      </c>
      <c r="G13" s="11">
        <f>IF(D13&gt;=Du_Lieu_Goc_PTN!$E$12, (Du_Lieu_Goc_PTN!$E$13/(1+Du_Lieu_Goc_PTN!$E$11))*C13*LOG10(F13/D13)*100, IF(F13&lt;=Du_Lieu_Goc_PTN!$E$12, (Du_Lieu_Goc_PTN!$E$14/(1+Du_Lieu_Goc_PTN!$E$11))*C13*LOG10(F13/D13)*100, ((Du_Lieu_Goc_PTN!$E$14/(1+Du_Lieu_Goc_PTN!$E$11))*C13*LOG10(Du_Lieu_Goc_PTN!$E$12/D13) + (Du_Lieu_Goc_PTN!$E$13/(1+Du_Lieu_Goc_PTN!$E$11))*C13*LOG10(F13/Du_Lieu_Goc_PTN!$E$12))*100))</f>
        <v/>
      </c>
      <c r="H13" s="11">
        <f>0.8 * E13 * C13 / (Du_Lieu_Goc_PTN!$E$18 * 1000) * 100</f>
        <v/>
      </c>
      <c r="I13" s="11">
        <f>G13-H13</f>
        <v/>
      </c>
    </row>
    <row r="14">
      <c r="B14" s="7" t="n">
        <v>10</v>
      </c>
      <c r="C14" s="10">
        <f>Phan_Bo_Ung_Suat!D14</f>
        <v/>
      </c>
      <c r="D14" s="11">
        <f>Phan_Bo_Ung_Suat!G14</f>
        <v/>
      </c>
      <c r="E14" s="11">
        <f>Phan_Bo_Ung_Suat!H14</f>
        <v/>
      </c>
      <c r="F14" s="11">
        <f>Phan_Bo_Ung_Suat!I14</f>
        <v/>
      </c>
      <c r="G14" s="11">
        <f>IF(D14&gt;=Du_Lieu_Goc_PTN!$E$12, (Du_Lieu_Goc_PTN!$E$13/(1+Du_Lieu_Goc_PTN!$E$11))*C14*LOG10(F14/D14)*100, IF(F14&lt;=Du_Lieu_Goc_PTN!$E$12, (Du_Lieu_Goc_PTN!$E$14/(1+Du_Lieu_Goc_PTN!$E$11))*C14*LOG10(F14/D14)*100, ((Du_Lieu_Goc_PTN!$E$14/(1+Du_Lieu_Goc_PTN!$E$11))*C14*LOG10(Du_Lieu_Goc_PTN!$E$12/D14) + (Du_Lieu_Goc_PTN!$E$13/(1+Du_Lieu_Goc_PTN!$E$11))*C14*LOG10(F14/Du_Lieu_Goc_PTN!$E$12))*100))</f>
        <v/>
      </c>
      <c r="H14" s="11">
        <f>0.8 * E14 * C14 / (Du_Lieu_Goc_PTN!$E$18 * 1000) * 100</f>
        <v/>
      </c>
      <c r="I14" s="11">
        <f>G14-H14</f>
        <v/>
      </c>
    </row>
    <row r="15">
      <c r="B15" s="12" t="inlineStr">
        <is>
          <t>TỔNG CỘNG</t>
        </is>
      </c>
      <c r="C15" s="12">
        <f>SUM(C5:C14)</f>
        <v/>
      </c>
      <c r="D15" s="13" t="n"/>
      <c r="E15" s="13" t="n"/>
      <c r="F15" s="13" t="n"/>
      <c r="G15" s="14">
        <f>SUM(G5:G14)</f>
        <v/>
      </c>
      <c r="H15" s="15">
        <f>SUM(H5:H14)</f>
        <v/>
      </c>
      <c r="I15" s="12">
        <f>G15-H15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3" t="inlineStr">
        <is>
          <t>DỰ BÁO TIẾN TRÌNH LÚN TỰ NHIÊN (TERZAGHI) VÀ HIỆU QUẢ GIA TỐC BẰNG BẤC THẤM PVD</t>
        </is>
      </c>
    </row>
    <row r="4">
      <c r="B4" s="6" t="inlineStr">
        <is>
          <t>Thời gian t (tháng)</t>
        </is>
      </c>
      <c r="C4" s="6" t="inlineStr">
        <is>
          <t>Thời gian t (năm)</t>
        </is>
      </c>
      <c r="D4" s="6" t="inlineStr">
        <is>
          <t>Tv tự nhiên</t>
        </is>
      </c>
      <c r="E4" s="6" t="inlineStr">
        <is>
          <t>Uv tự nhiên (%)</t>
        </is>
      </c>
      <c r="F4" s="6" t="inlineStr">
        <is>
          <t>Độ lún tự nhiên (cm)</t>
        </is>
      </c>
      <c r="G4" s="6" t="inlineStr">
        <is>
          <t>Th (PVD)</t>
        </is>
      </c>
      <c r="H4" s="6" t="inlineStr">
        <is>
          <t>Uh (PVD) (%)</t>
        </is>
      </c>
      <c r="I4" s="6" t="inlineStr">
        <is>
          <t>U_tong PVD (%)</t>
        </is>
      </c>
      <c r="J4" s="6" t="inlineStr">
        <is>
          <t>Độ lún có PVD (cm)</t>
        </is>
      </c>
    </row>
    <row r="5">
      <c r="B5" s="7" t="n">
        <v>1</v>
      </c>
      <c r="C5" s="11">
        <f>B5/12</f>
        <v/>
      </c>
      <c r="D5" s="16">
        <f>Du_Lieu_Goc_PTN!$E$16 * C5 / (7.5^2)</f>
        <v/>
      </c>
      <c r="E5" s="17">
        <f>IF(D5&lt;=0.282, 2*SQRT(D5/PI()), 1 - (8/(PI()^2))*EXP(-(PI()^2)/4 * D5))</f>
        <v/>
      </c>
      <c r="F5" s="10">
        <f>E5 * Tinh_Lun_Cc_Cr_TCVN!$G$15</f>
        <v/>
      </c>
      <c r="G5" s="16">
        <f>Du_Lieu_Goc_PTN!$E$17 * C5 / (1.26^2)</f>
        <v/>
      </c>
      <c r="H5" s="17">
        <f>1 - EXP(-8 * G5 / 2.89)</f>
        <v/>
      </c>
      <c r="I5" s="17">
        <f>1 - (1 - E5) * (1 - H5)</f>
        <v/>
      </c>
      <c r="J5" s="10">
        <f>I5 * Tinh_Lun_Cc_Cr_TCVN!$G$15</f>
        <v/>
      </c>
    </row>
    <row r="6">
      <c r="B6" s="7" t="n">
        <v>2</v>
      </c>
      <c r="C6" s="11">
        <f>B6/12</f>
        <v/>
      </c>
      <c r="D6" s="16">
        <f>Du_Lieu_Goc_PTN!$E$16 * C6 / (7.5^2)</f>
        <v/>
      </c>
      <c r="E6" s="17">
        <f>IF(D6&lt;=0.282, 2*SQRT(D6/PI()), 1 - (8/(PI()^2))*EXP(-(PI()^2)/4 * D6))</f>
        <v/>
      </c>
      <c r="F6" s="10">
        <f>E6 * Tinh_Lun_Cc_Cr_TCVN!$G$15</f>
        <v/>
      </c>
      <c r="G6" s="16">
        <f>Du_Lieu_Goc_PTN!$E$17 * C6 / (1.26^2)</f>
        <v/>
      </c>
      <c r="H6" s="17">
        <f>1 - EXP(-8 * G6 / 2.89)</f>
        <v/>
      </c>
      <c r="I6" s="17">
        <f>1 - (1 - E6) * (1 - H6)</f>
        <v/>
      </c>
      <c r="J6" s="10">
        <f>I6 * Tinh_Lun_Cc_Cr_TCVN!$G$15</f>
        <v/>
      </c>
    </row>
    <row r="7">
      <c r="B7" s="7" t="n">
        <v>3</v>
      </c>
      <c r="C7" s="11">
        <f>B7/12</f>
        <v/>
      </c>
      <c r="D7" s="16">
        <f>Du_Lieu_Goc_PTN!$E$16 * C7 / (7.5^2)</f>
        <v/>
      </c>
      <c r="E7" s="17">
        <f>IF(D7&lt;=0.282, 2*SQRT(D7/PI()), 1 - (8/(PI()^2))*EXP(-(PI()^2)/4 * D7))</f>
        <v/>
      </c>
      <c r="F7" s="10">
        <f>E7 * Tinh_Lun_Cc_Cr_TCVN!$G$15</f>
        <v/>
      </c>
      <c r="G7" s="16">
        <f>Du_Lieu_Goc_PTN!$E$17 * C7 / (1.26^2)</f>
        <v/>
      </c>
      <c r="H7" s="17">
        <f>1 - EXP(-8 * G7 / 2.89)</f>
        <v/>
      </c>
      <c r="I7" s="17">
        <f>1 - (1 - E7) * (1 - H7)</f>
        <v/>
      </c>
      <c r="J7" s="10">
        <f>I7 * Tinh_Lun_Cc_Cr_TCVN!$G$15</f>
        <v/>
      </c>
    </row>
    <row r="8">
      <c r="B8" s="7" t="n">
        <v>4</v>
      </c>
      <c r="C8" s="11">
        <f>B8/12</f>
        <v/>
      </c>
      <c r="D8" s="16">
        <f>Du_Lieu_Goc_PTN!$E$16 * C8 / (7.5^2)</f>
        <v/>
      </c>
      <c r="E8" s="17">
        <f>IF(D8&lt;=0.282, 2*SQRT(D8/PI()), 1 - (8/(PI()^2))*EXP(-(PI()^2)/4 * D8))</f>
        <v/>
      </c>
      <c r="F8" s="10">
        <f>E8 * Tinh_Lun_Cc_Cr_TCVN!$G$15</f>
        <v/>
      </c>
      <c r="G8" s="16">
        <f>Du_Lieu_Goc_PTN!$E$17 * C8 / (1.26^2)</f>
        <v/>
      </c>
      <c r="H8" s="17">
        <f>1 - EXP(-8 * G8 / 2.89)</f>
        <v/>
      </c>
      <c r="I8" s="17">
        <f>1 - (1 - E8) * (1 - H8)</f>
        <v/>
      </c>
      <c r="J8" s="10">
        <f>I8 * Tinh_Lun_Cc_Cr_TCVN!$G$15</f>
        <v/>
      </c>
    </row>
    <row r="9">
      <c r="B9" s="7" t="n">
        <v>6</v>
      </c>
      <c r="C9" s="11">
        <f>B9/12</f>
        <v/>
      </c>
      <c r="D9" s="16">
        <f>Du_Lieu_Goc_PTN!$E$16 * C9 / (7.5^2)</f>
        <v/>
      </c>
      <c r="E9" s="17">
        <f>IF(D9&lt;=0.282, 2*SQRT(D9/PI()), 1 - (8/(PI()^2))*EXP(-(PI()^2)/4 * D9))</f>
        <v/>
      </c>
      <c r="F9" s="10">
        <f>E9 * Tinh_Lun_Cc_Cr_TCVN!$G$15</f>
        <v/>
      </c>
      <c r="G9" s="16">
        <f>Du_Lieu_Goc_PTN!$E$17 * C9 / (1.26^2)</f>
        <v/>
      </c>
      <c r="H9" s="17">
        <f>1 - EXP(-8 * G9 / 2.89)</f>
        <v/>
      </c>
      <c r="I9" s="17">
        <f>1 - (1 - E9) * (1 - H9)</f>
        <v/>
      </c>
      <c r="J9" s="10">
        <f>I9 * Tinh_Lun_Cc_Cr_TCVN!$G$15</f>
        <v/>
      </c>
    </row>
    <row r="10">
      <c r="B10" s="7" t="n">
        <v>8</v>
      </c>
      <c r="C10" s="11">
        <f>B10/12</f>
        <v/>
      </c>
      <c r="D10" s="16">
        <f>Du_Lieu_Goc_PTN!$E$16 * C10 / (7.5^2)</f>
        <v/>
      </c>
      <c r="E10" s="17">
        <f>IF(D10&lt;=0.282, 2*SQRT(D10/PI()), 1 - (8/(PI()^2))*EXP(-(PI()^2)/4 * D10))</f>
        <v/>
      </c>
      <c r="F10" s="10">
        <f>E10 * Tinh_Lun_Cc_Cr_TCVN!$G$15</f>
        <v/>
      </c>
      <c r="G10" s="16">
        <f>Du_Lieu_Goc_PTN!$E$17 * C10 / (1.26^2)</f>
        <v/>
      </c>
      <c r="H10" s="17">
        <f>1 - EXP(-8 * G10 / 2.89)</f>
        <v/>
      </c>
      <c r="I10" s="17">
        <f>1 - (1 - E10) * (1 - H10)</f>
        <v/>
      </c>
      <c r="J10" s="10">
        <f>I10 * Tinh_Lun_Cc_Cr_TCVN!$G$15</f>
        <v/>
      </c>
    </row>
    <row r="11">
      <c r="B11" s="7" t="n">
        <v>10</v>
      </c>
      <c r="C11" s="11">
        <f>B11/12</f>
        <v/>
      </c>
      <c r="D11" s="16">
        <f>Du_Lieu_Goc_PTN!$E$16 * C11 / (7.5^2)</f>
        <v/>
      </c>
      <c r="E11" s="17">
        <f>IF(D11&lt;=0.282, 2*SQRT(D11/PI()), 1 - (8/(PI()^2))*EXP(-(PI()^2)/4 * D11))</f>
        <v/>
      </c>
      <c r="F11" s="10">
        <f>E11 * Tinh_Lun_Cc_Cr_TCVN!$G$15</f>
        <v/>
      </c>
      <c r="G11" s="16">
        <f>Du_Lieu_Goc_PTN!$E$17 * C11 / (1.26^2)</f>
        <v/>
      </c>
      <c r="H11" s="17">
        <f>1 - EXP(-8 * G11 / 2.89)</f>
        <v/>
      </c>
      <c r="I11" s="17">
        <f>1 - (1 - E11) * (1 - H11)</f>
        <v/>
      </c>
      <c r="J11" s="10">
        <f>I11 * Tinh_Lun_Cc_Cr_TCVN!$G$15</f>
        <v/>
      </c>
    </row>
    <row r="12">
      <c r="B12" s="7" t="n">
        <v>12</v>
      </c>
      <c r="C12" s="11">
        <f>B12/12</f>
        <v/>
      </c>
      <c r="D12" s="16">
        <f>Du_Lieu_Goc_PTN!$E$16 * C12 / (7.5^2)</f>
        <v/>
      </c>
      <c r="E12" s="17">
        <f>IF(D12&lt;=0.282, 2*SQRT(D12/PI()), 1 - (8/(PI()^2))*EXP(-(PI()^2)/4 * D12))</f>
        <v/>
      </c>
      <c r="F12" s="10">
        <f>E12 * Tinh_Lun_Cc_Cr_TCVN!$G$15</f>
        <v/>
      </c>
      <c r="G12" s="16">
        <f>Du_Lieu_Goc_PTN!$E$17 * C12 / (1.26^2)</f>
        <v/>
      </c>
      <c r="H12" s="17">
        <f>1 - EXP(-8 * G12 / 2.89)</f>
        <v/>
      </c>
      <c r="I12" s="17">
        <f>1 - (1 - E12) * (1 - H12)</f>
        <v/>
      </c>
      <c r="J12" s="10">
        <f>I12 * Tinh_Lun_Cc_Cr_TCVN!$G$15</f>
        <v/>
      </c>
    </row>
    <row r="13">
      <c r="B13" s="7" t="n">
        <v>18</v>
      </c>
      <c r="C13" s="11">
        <f>B13/12</f>
        <v/>
      </c>
      <c r="D13" s="16">
        <f>Du_Lieu_Goc_PTN!$E$16 * C13 / (7.5^2)</f>
        <v/>
      </c>
      <c r="E13" s="17">
        <f>IF(D13&lt;=0.282, 2*SQRT(D13/PI()), 1 - (8/(PI()^2))*EXP(-(PI()^2)/4 * D13))</f>
        <v/>
      </c>
      <c r="F13" s="10">
        <f>E13 * Tinh_Lun_Cc_Cr_TCVN!$G$15</f>
        <v/>
      </c>
      <c r="G13" s="16">
        <f>Du_Lieu_Goc_PTN!$E$17 * C13 / (1.26^2)</f>
        <v/>
      </c>
      <c r="H13" s="17">
        <f>1 - EXP(-8 * G13 / 2.89)</f>
        <v/>
      </c>
      <c r="I13" s="17">
        <f>1 - (1 - E13) * (1 - H13)</f>
        <v/>
      </c>
      <c r="J13" s="10">
        <f>I13 * Tinh_Lun_Cc_Cr_TCVN!$G$15</f>
        <v/>
      </c>
    </row>
    <row r="14">
      <c r="B14" s="7" t="n">
        <v>24</v>
      </c>
      <c r="C14" s="11">
        <f>B14/12</f>
        <v/>
      </c>
      <c r="D14" s="16">
        <f>Du_Lieu_Goc_PTN!$E$16 * C14 / (7.5^2)</f>
        <v/>
      </c>
      <c r="E14" s="17">
        <f>IF(D14&lt;=0.282, 2*SQRT(D14/PI()), 1 - (8/(PI()^2))*EXP(-(PI()^2)/4 * D14))</f>
        <v/>
      </c>
      <c r="F14" s="10">
        <f>E14 * Tinh_Lun_Cc_Cr_TCVN!$G$15</f>
        <v/>
      </c>
      <c r="G14" s="16">
        <f>Du_Lieu_Goc_PTN!$E$17 * C14 / (1.26^2)</f>
        <v/>
      </c>
      <c r="H14" s="17">
        <f>1 - EXP(-8 * G14 / 2.89)</f>
        <v/>
      </c>
      <c r="I14" s="17">
        <f>1 - (1 - E14) * (1 - H14)</f>
        <v/>
      </c>
      <c r="J14" s="10">
        <f>I14 * Tinh_Lun_Cc_Cr_TCVN!$G$15</f>
        <v/>
      </c>
    </row>
    <row r="15">
      <c r="B15" s="7" t="n">
        <v>36</v>
      </c>
      <c r="C15" s="11">
        <f>B15/12</f>
        <v/>
      </c>
      <c r="D15" s="16">
        <f>Du_Lieu_Goc_PTN!$E$16 * C15 / (7.5^2)</f>
        <v/>
      </c>
      <c r="E15" s="17">
        <f>IF(D15&lt;=0.282, 2*SQRT(D15/PI()), 1 - (8/(PI()^2))*EXP(-(PI()^2)/4 * D15))</f>
        <v/>
      </c>
      <c r="F15" s="10">
        <f>E15 * Tinh_Lun_Cc_Cr_TCVN!$G$15</f>
        <v/>
      </c>
      <c r="G15" s="16">
        <f>Du_Lieu_Goc_PTN!$E$17 * C15 / (1.26^2)</f>
        <v/>
      </c>
      <c r="H15" s="17">
        <f>1 - EXP(-8 * G15 / 2.89)</f>
        <v/>
      </c>
      <c r="I15" s="17">
        <f>1 - (1 - E15) * (1 - H15)</f>
        <v/>
      </c>
      <c r="J15" s="10">
        <f>I15 * Tinh_Lun_Cc_Cr_TCVN!$G$15</f>
        <v/>
      </c>
    </row>
    <row r="16">
      <c r="B16" s="7" t="n">
        <v>60</v>
      </c>
      <c r="C16" s="11">
        <f>B16/12</f>
        <v/>
      </c>
      <c r="D16" s="16">
        <f>Du_Lieu_Goc_PTN!$E$16 * C16 / (7.5^2)</f>
        <v/>
      </c>
      <c r="E16" s="17">
        <f>IF(D16&lt;=0.282, 2*SQRT(D16/PI()), 1 - (8/(PI()^2))*EXP(-(PI()^2)/4 * D16))</f>
        <v/>
      </c>
      <c r="F16" s="10">
        <f>E16 * Tinh_Lun_Cc_Cr_TCVN!$G$15</f>
        <v/>
      </c>
      <c r="G16" s="16">
        <f>Du_Lieu_Goc_PTN!$E$17 * C16 / (1.26^2)</f>
        <v/>
      </c>
      <c r="H16" s="17">
        <f>1 - EXP(-8 * G16 / 2.89)</f>
        <v/>
      </c>
      <c r="I16" s="17">
        <f>1 - (1 - E16) * (1 - H16)</f>
        <v/>
      </c>
      <c r="J16" s="10">
        <f>I16 * Tinh_Lun_Cc_Cr_TCVN!$G$15</f>
        <v/>
      </c>
    </row>
    <row r="17">
      <c r="B17" s="7" t="n">
        <v>120</v>
      </c>
      <c r="C17" s="11">
        <f>B17/12</f>
        <v/>
      </c>
      <c r="D17" s="16">
        <f>Du_Lieu_Goc_PTN!$E$16 * C17 / (7.5^2)</f>
        <v/>
      </c>
      <c r="E17" s="17">
        <f>IF(D17&lt;=0.282, 2*SQRT(D17/PI()), 1 - (8/(PI()^2))*EXP(-(PI()^2)/4 * D17))</f>
        <v/>
      </c>
      <c r="F17" s="10">
        <f>E17 * Tinh_Lun_Cc_Cr_TCVN!$G$15</f>
        <v/>
      </c>
      <c r="G17" s="16">
        <f>Du_Lieu_Goc_PTN!$E$17 * C17 / (1.26^2)</f>
        <v/>
      </c>
      <c r="H17" s="17">
        <f>1 - EXP(-8 * G17 / 2.89)</f>
        <v/>
      </c>
      <c r="I17" s="17">
        <f>1 - (1 - E17) * (1 - H17)</f>
        <v/>
      </c>
      <c r="J17" s="10">
        <f>I17 * Tinh_Lun_Cc_Cr_TCVN!$G$15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2026-10-14T03:49:05Z</dcterms:created>
  <dcterms:modified xmlns:dcterms="http://purl.org/dc/terms/" xmlns:xsi="http://www.w3.org/2001/XMLSchema-instance" xsi:type="dcterms:W3CDTF">2026-10-14T05:16:38Z</dcterms:modified>
</cp:coreProperties>
</file>